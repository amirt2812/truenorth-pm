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oor Economics" sheetId="2" state="visible" r:id="rId2"/>
    <sheet name="Weekly Scoreboard" sheetId="3" state="visible" r:id="rId3"/>
    <sheet name="Chan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#,##0;(#,##0);&quot;-&quot;"/>
    <numFmt numFmtId="168" formatCode="$#,##0.00;($#,##0.00);&quot;-&quot;"/>
    <numFmt numFmtId="169" formatCode="yyyy-mm-dd"/>
    <numFmt numFmtId="170" formatCode="mmm d, yyyy"/>
  </numFmts>
  <fonts count="10">
    <font>
      <name val="Calibri"/>
      <family val="2"/>
      <color theme="1"/>
      <sz val="11"/>
      <scheme val="minor"/>
    </font>
    <font>
      <name val="Arial"/>
      <b val="1"/>
      <color rgb="000F2742"/>
      <sz val="16"/>
    </font>
    <font>
      <name val="Arial"/>
      <i val="1"/>
      <color rgb="0052627A"/>
      <sz val="10"/>
    </font>
    <font>
      <name val="Arial"/>
      <b val="1"/>
      <color rgb="000F2742"/>
      <sz val="11"/>
    </font>
    <font>
      <name val="Arial"/>
      <color rgb="00000000"/>
      <sz val="10"/>
    </font>
    <font>
      <name val="Arial"/>
      <i val="1"/>
      <color rgb="0052627A"/>
      <sz val="9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6F1E7"/>
      </patternFill>
    </fill>
    <fill>
      <patternFill patternType="solid">
        <fgColor rgb="00FFFF00"/>
      </patternFill>
    </fill>
    <fill>
      <patternFill patternType="solid">
        <fgColor rgb="00FFF9E6"/>
      </patternFill>
    </fill>
    <fill>
      <patternFill patternType="solid">
        <fgColor rgb="000F2742"/>
      </patternFill>
    </fill>
  </fills>
  <borders count="2">
    <border>
      <left/>
      <right/>
      <top/>
      <bottom/>
      <diagonal/>
    </border>
    <border>
      <bottom style="thin">
        <color rgb="00D9D2C3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164" fontId="6" fillId="3" borderId="1" applyAlignment="1" pivotButton="0" quotePrefix="0" xfId="0">
      <alignment horizontal="right"/>
    </xf>
    <xf numFmtId="0" fontId="5" fillId="0" borderId="1" applyAlignment="1" pivotButton="0" quotePrefix="0" xfId="0">
      <alignment vertical="top" wrapText="1"/>
    </xf>
    <xf numFmtId="165" fontId="6" fillId="3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pivotButton="0" quotePrefix="0" xfId="0"/>
    <xf numFmtId="164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8" fontId="6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8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0" borderId="0" pivotButton="0" quotePrefix="0" xfId="0"/>
    <xf numFmtId="167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70" fontId="6" fillId="0" borderId="1" pivotButton="0" quotePrefix="0" xfId="0"/>
    <xf numFmtId="167" fontId="6" fillId="4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70" fontId="4" fillId="0" borderId="1" pivotButton="0" quotePrefix="0" xfId="0"/>
    <xf numFmtId="0" fontId="7" fillId="2" borderId="0" pivotButton="0" quotePrefix="0" xfId="0"/>
    <xf numFmtId="167" fontId="7" fillId="2" borderId="0" applyAlignment="1" pivotButton="0" quotePrefix="0" xfId="0">
      <alignment horizontal="center"/>
    </xf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5" fillId="0" borderId="0" pivotButton="0" quotePrefix="0" xfId="0"/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165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TrueNorth</author>
  </authors>
  <commentList>
    <comment ref="I4" authorId="0" shapeId="0">
      <text>
        <t>Scale up = cost per door is at or under 'Max you can spend to win one door' (Door Economics!B23).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TrueNorth Growth Scoreboard</t>
        </is>
      </c>
    </row>
    <row r="2">
      <c r="A2" s="2" t="inlineStr">
        <is>
          <t>One number decides every marketing choice: what it costs to sign one door (property), compared with what a door is worth.</t>
        </is>
      </c>
    </row>
    <row r="3">
      <c r="A3" s="3" t="inlineStr"/>
    </row>
    <row r="4">
      <c r="A4" s="4" t="inlineStr">
        <is>
          <t>How to read the colors</t>
        </is>
      </c>
    </row>
    <row r="5">
      <c r="A5" s="5" t="inlineStr">
        <is>
          <t>Blue text = an input you type or change.   Black text = a formula (don't overwrite).   Yellow fill = a key assumption to confirm with your own numbers.</t>
        </is>
      </c>
    </row>
    <row r="6">
      <c r="A6" s="3" t="inlineStr"/>
    </row>
    <row r="7">
      <c r="A7" s="4" t="inlineStr">
        <is>
          <t>Tabs</t>
        </is>
      </c>
    </row>
    <row r="8">
      <c r="A8" s="5" t="inlineStr">
        <is>
          <t>Door Economics — what one door earns per year and over its life, the most you can spend to win one, doors needed for your income goal, and a postcard calculator.</t>
        </is>
      </c>
    </row>
    <row r="9">
      <c r="A9" s="5" t="inlineStr">
        <is>
          <t>Weekly Scoreboard — fill one row every Monday (about 5 minutes). The grey 'Example' row shows the format and is excluded from totals.</t>
        </is>
      </c>
    </row>
    <row r="10">
      <c r="A10" s="5" t="inlineStr">
        <is>
          <t>Channels — spend, leads, and signed doors per channel. Cost per door is compared against the maximum from Door Economics.</t>
        </is>
      </c>
    </row>
    <row r="11">
      <c r="A11" s="3" t="inlineStr"/>
    </row>
    <row r="12">
      <c r="A12" s="4" t="inlineStr">
        <is>
          <t>Where the numbers come from</t>
        </is>
      </c>
    </row>
    <row r="13">
      <c r="A13" s="5" t="inlineStr">
        <is>
          <t>Leads: every website lead email now ends with its channel in [brackets], e.g. [postcard / direct_mail], [google_business_profile / organic], [direct].</t>
        </is>
      </c>
    </row>
    <row r="14">
      <c r="A14" s="5" t="inlineStr">
        <is>
          <t>Spend: postcard invoices, ad platform billing, printing. Reviews: your Google Business Profile. Doors: signed management agreements.</t>
        </is>
      </c>
    </row>
    <row r="15">
      <c r="A15" s="3" t="inlineStr"/>
    </row>
    <row r="16">
      <c r="A16" s="6" t="inlineStr">
        <is>
          <t>Starting values are placeholders from the website's 'starting at' pricing and common planning assumptions — replace them with your real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78" customWidth="1" min="3" max="3"/>
  </cols>
  <sheetData>
    <row r="1">
      <c r="A1" s="7" t="inlineStr">
        <is>
          <t>Door Economics</t>
        </is>
      </c>
    </row>
    <row r="2">
      <c r="A2" s="8" t="inlineStr">
        <is>
          <t>What one managed property (door) is worth, and what you can afford to spend to win one.</t>
        </is>
      </c>
    </row>
    <row r="4">
      <c r="A4" s="9" t="inlineStr">
        <is>
          <t>Inputs</t>
        </is>
      </c>
      <c r="B4" s="10" t="n"/>
      <c r="C4" s="10" t="n"/>
    </row>
    <row r="5">
      <c r="A5" s="11" t="inlineStr">
        <is>
          <t>Average monthly management fee ($)</t>
        </is>
      </c>
      <c r="B5" s="12" t="n">
        <v>149</v>
      </c>
      <c r="C5" s="13" t="inlineStr">
        <is>
          <t>Plus plan 'starting at' price on the website (src/lib/pricing.ts). Use your real average.</t>
        </is>
      </c>
    </row>
    <row r="6">
      <c r="A6" s="11" t="inlineStr">
        <is>
          <t>Average monthly rent ($)</t>
        </is>
      </c>
      <c r="B6" s="12" t="n">
        <v>2200</v>
      </c>
      <c r="C6" s="13" t="inlineStr">
        <is>
          <t>Example Spring Hill single-family rent. Replace with your portfolio average.</t>
        </is>
      </c>
    </row>
    <row r="7">
      <c r="A7" s="11" t="inlineStr">
        <is>
          <t>Leasing fee (share of one month's rent)</t>
        </is>
      </c>
      <c r="B7" s="14" t="n">
        <v>0.75</v>
      </c>
      <c r="C7" s="13" t="inlineStr">
        <is>
          <t>Leasing 'starting at' 75% of first month (website). Confirm Exhibit B line 3.</t>
        </is>
      </c>
    </row>
    <row r="8">
      <c r="A8" s="11" t="inlineStr">
        <is>
          <t>Tenant turnover rate (per year)</t>
        </is>
      </c>
      <c r="B8" s="14" t="n">
        <v>0.5</v>
      </c>
      <c r="C8" s="13" t="inlineStr">
        <is>
          <t>Assumption: 50% = a new tenant about every 2 years.</t>
        </is>
      </c>
    </row>
    <row r="9">
      <c r="A9" s="11" t="inlineStr">
        <is>
          <t>Renewal fee ($)</t>
        </is>
      </c>
      <c r="B9" s="15" t="n">
        <v>299</v>
      </c>
      <c r="C9" s="13" t="inlineStr">
        <is>
          <t>Renewal 'starting at' $299 (website). Charged in years without turnover.</t>
        </is>
      </c>
    </row>
    <row r="10">
      <c r="A10" s="11" t="inlineStr">
        <is>
          <t>Direct cost per door ($ per year)</t>
        </is>
      </c>
      <c r="B10" s="12" t="n">
        <v>300</v>
      </c>
      <c r="C10" s="13" t="inlineStr">
        <is>
          <t>Assumption: software, mileage, supplies per door. Replace with actuals.</t>
        </is>
      </c>
    </row>
    <row r="11">
      <c r="A11" s="11" t="inlineStr">
        <is>
          <t>Average years an owner stays</t>
        </is>
      </c>
      <c r="B11" s="16" t="n">
        <v>3.5</v>
      </c>
      <c r="C11" s="13" t="inlineStr">
        <is>
          <t>Assumption. Retention is the biggest lever on lifetime value.</t>
        </is>
      </c>
    </row>
    <row r="12">
      <c r="A12" s="11" t="inlineStr">
        <is>
          <t>Max share of lifetime contribution to spend winning a door</t>
        </is>
      </c>
      <c r="B12" s="17" t="n">
        <v>0.2</v>
      </c>
      <c r="C12" s="13" t="inlineStr">
        <is>
          <t>Assumption: keep acquisition cost at or under 20% of lifetime contribution.</t>
        </is>
      </c>
    </row>
    <row r="13">
      <c r="A13" s="11" t="inlineStr">
        <is>
          <t>Owner income goal ($ per year)</t>
        </is>
      </c>
      <c r="B13" s="15" t="n">
        <v>100000</v>
      </c>
      <c r="C13" s="13" t="inlineStr">
        <is>
          <t>Your target take-home before tax.</t>
        </is>
      </c>
    </row>
    <row r="14">
      <c r="A14" s="11" t="inlineStr">
        <is>
          <t>Fixed overhead ($ per year)</t>
        </is>
      </c>
      <c r="B14" s="12" t="n">
        <v>12000</v>
      </c>
      <c r="C14" s="13" t="inlineStr">
        <is>
          <t>Assumption: E&amp;O and liability insurance, licenses, software base fees, baseline marketing.</t>
        </is>
      </c>
    </row>
    <row r="16">
      <c r="A16" s="9" t="inlineStr">
        <is>
          <t>Per-door results</t>
        </is>
      </c>
      <c r="B16" s="10" t="n"/>
      <c r="C16" s="10" t="n"/>
    </row>
    <row r="17">
      <c r="A17" s="11" t="inlineStr">
        <is>
          <t>Management fees per door per year</t>
        </is>
      </c>
      <c r="B17" s="18">
        <f>B5*12</f>
        <v/>
      </c>
      <c r="C17" s="19" t="n"/>
    </row>
    <row r="18">
      <c r="A18" s="11" t="inlineStr">
        <is>
          <t>Leasing fees per door per year</t>
        </is>
      </c>
      <c r="B18" s="18">
        <f>B6*B7*B8</f>
        <v/>
      </c>
      <c r="C18" s="13" t="inlineStr">
        <is>
          <t>Rent x leasing % x how often a new tenant is placed.</t>
        </is>
      </c>
    </row>
    <row r="19">
      <c r="A19" s="11" t="inlineStr">
        <is>
          <t>Renewal fees per door per year</t>
        </is>
      </c>
      <c r="B19" s="18">
        <f>B9*(1-B8)</f>
        <v/>
      </c>
      <c r="C19" s="13" t="inlineStr">
        <is>
          <t>Renewal fee in the years the tenant stays.</t>
        </is>
      </c>
    </row>
    <row r="20">
      <c r="A20" s="11" t="inlineStr">
        <is>
          <t>Revenue per door per year</t>
        </is>
      </c>
      <c r="B20" s="20">
        <f>SUM(B17:B19)</f>
        <v/>
      </c>
      <c r="C20" s="19" t="n"/>
    </row>
    <row r="21">
      <c r="A21" s="11" t="inlineStr">
        <is>
          <t>Contribution per door per year</t>
        </is>
      </c>
      <c r="B21" s="18">
        <f>B20-B10</f>
        <v/>
      </c>
      <c r="C21" s="13" t="inlineStr">
        <is>
          <t>Revenue minus direct cost.</t>
        </is>
      </c>
    </row>
    <row r="22">
      <c r="A22" s="11" t="inlineStr">
        <is>
          <t>Lifetime contribution per door</t>
        </is>
      </c>
      <c r="B22" s="18">
        <f>B21*B11</f>
        <v/>
      </c>
      <c r="C22" s="19" t="n"/>
    </row>
    <row r="23">
      <c r="A23" s="11" t="inlineStr">
        <is>
          <t>Max you can spend to win one door</t>
        </is>
      </c>
      <c r="B23" s="20">
        <f>B22*B12</f>
        <v/>
      </c>
      <c r="C23" s="13" t="inlineStr">
        <is>
          <t>Compare every channel's cost per door to this (Channels tab).</t>
        </is>
      </c>
    </row>
    <row r="25">
      <c r="A25" s="9" t="inlineStr">
        <is>
          <t>Scale</t>
        </is>
      </c>
      <c r="B25" s="10" t="n"/>
      <c r="C25" s="10" t="n"/>
    </row>
    <row r="26">
      <c r="A26" s="11" t="inlineStr">
        <is>
          <t>Doors needed for your income goal</t>
        </is>
      </c>
      <c r="B26" s="21">
        <f>IF(B21&gt;0,ROUNDUP((B13+B14)/B21,0),"-")</f>
        <v/>
      </c>
      <c r="C26" s="13" t="inlineStr">
        <is>
          <t>(Income goal + overhead) / contribution per door.</t>
        </is>
      </c>
    </row>
    <row r="27">
      <c r="A27" s="11" t="inlineStr">
        <is>
          <t>Annual revenue at that door count</t>
        </is>
      </c>
      <c r="B27" s="18">
        <f>IF(ISNUMBER(B26),B26*B20,"-")</f>
        <v/>
      </c>
      <c r="C27" s="19" t="n"/>
    </row>
    <row r="29">
      <c r="A29" s="9" t="inlineStr">
        <is>
          <t>Postcard calculator</t>
        </is>
      </c>
      <c r="B29" s="10" t="n"/>
      <c r="C29" s="10" t="n"/>
    </row>
    <row r="30">
      <c r="A30" s="11" t="inlineStr">
        <is>
          <t>Postcards mailed</t>
        </is>
      </c>
      <c r="B30" s="22" t="n">
        <v>1000</v>
      </c>
      <c r="C30" s="13" t="inlineStr">
        <is>
          <t>One drop to the absentee-owner list.</t>
        </is>
      </c>
    </row>
    <row r="31">
      <c r="A31" s="11" t="inlineStr">
        <is>
          <t>All-in cost per postcard (print + postage + list)</t>
        </is>
      </c>
      <c r="B31" s="23" t="n">
        <v>0.75</v>
      </c>
      <c r="C31" s="13" t="inlineStr">
        <is>
          <t>Assumption: 6x9 marketing mail commonly lands around $0.60–$1.00 all-in. Get a vendor quote.</t>
        </is>
      </c>
    </row>
    <row r="32">
      <c r="A32" s="11" t="inlineStr">
        <is>
          <t>Response rate (leads per postcard)</t>
        </is>
      </c>
      <c r="B32" s="14" t="n">
        <v>0.01</v>
      </c>
      <c r="C32" s="13" t="inlineStr">
        <is>
          <t>Assumption: 0.5%–1.5% is a common planning range; repeat drops usually respond better.</t>
        </is>
      </c>
    </row>
    <row r="33">
      <c r="A33" s="11" t="inlineStr">
        <is>
          <t>Lead-to-signed-door rate</t>
        </is>
      </c>
      <c r="B33" s="14" t="n">
        <v>0.2</v>
      </c>
      <c r="C33" s="13" t="inlineStr">
        <is>
          <t>Assumption: 1 in 5 owners who request an analysis signs.</t>
        </is>
      </c>
    </row>
    <row r="34">
      <c r="A34" s="11" t="inlineStr">
        <is>
          <t>Total mail cost</t>
        </is>
      </c>
      <c r="B34" s="18">
        <f>B30*B31</f>
        <v/>
      </c>
      <c r="C34" s="19" t="n"/>
    </row>
    <row r="35">
      <c r="A35" s="11" t="inlineStr">
        <is>
          <t>Leads expected</t>
        </is>
      </c>
      <c r="B35" s="24">
        <f>B30*B32</f>
        <v/>
      </c>
      <c r="C35" s="19" t="n"/>
    </row>
    <row r="36">
      <c r="A36" s="11" t="inlineStr">
        <is>
          <t>Doors expected</t>
        </is>
      </c>
      <c r="B36" s="24">
        <f>B35*B33</f>
        <v/>
      </c>
      <c r="C36" s="19" t="n"/>
    </row>
    <row r="37">
      <c r="A37" s="11" t="inlineStr">
        <is>
          <t>Cost per door from postcards</t>
        </is>
      </c>
      <c r="B37" s="18">
        <f>IF(B36&gt;0,B34/B36,"-")</f>
        <v/>
      </c>
      <c r="C37" s="19" t="n"/>
    </row>
    <row r="38">
      <c r="A38" s="11" t="inlineStr">
        <is>
          <t>Worth it?</t>
        </is>
      </c>
      <c r="B38" s="25">
        <f>IF(ISNUMBER(B37),IF(B37&lt;=B23,"Yes: under your max cost per door","No: improve the list, offer, or follow-up"),"-")</f>
        <v/>
      </c>
      <c r="C38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1" customWidth="1" min="6" max="6"/>
    <col width="11" customWidth="1" min="7" max="7"/>
    <col width="13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7" t="inlineStr">
        <is>
          <t>Weekly Scoreboard</t>
        </is>
      </c>
    </row>
    <row r="2">
      <c r="A2" s="8" t="inlineStr">
        <is>
          <t>Fill one row every Monday. Blue cells are yours; black columns calculate.</t>
        </is>
      </c>
    </row>
    <row r="4" ht="30" customHeight="1">
      <c r="A4" s="26" t="inlineStr">
        <is>
          <t>Week of</t>
        </is>
      </c>
      <c r="B4" s="27" t="inlineStr">
        <is>
          <t>Website leads</t>
        </is>
      </c>
      <c r="C4" s="27" t="inlineStr">
        <is>
          <t>Rental analyses sent</t>
        </is>
      </c>
      <c r="D4" s="27" t="inlineStr">
        <is>
          <t>Consults booked</t>
        </is>
      </c>
      <c r="E4" s="27" t="inlineStr">
        <is>
          <t>Agreements signed</t>
        </is>
      </c>
      <c r="F4" s="27" t="inlineStr">
        <is>
          <t>Doors added</t>
        </is>
      </c>
      <c r="G4" s="27" t="inlineStr">
        <is>
          <t>Total doors</t>
        </is>
      </c>
      <c r="H4" s="27" t="inlineStr">
        <is>
          <t>Google reviews (total)</t>
        </is>
      </c>
      <c r="I4" s="27" t="inlineStr">
        <is>
          <t>Median reply time (hrs)</t>
        </is>
      </c>
      <c r="J4" s="27" t="inlineStr">
        <is>
          <t>Marketing spend ($)</t>
        </is>
      </c>
      <c r="K4" s="27" t="inlineStr">
        <is>
          <t>Spend to date ($)</t>
        </is>
      </c>
      <c r="L4" s="27" t="inlineStr">
        <is>
          <t>Cost per door to date ($)</t>
        </is>
      </c>
    </row>
    <row r="5">
      <c r="A5" s="28" t="inlineStr">
        <is>
          <t>Example</t>
        </is>
      </c>
      <c r="B5" s="29" t="n">
        <v>6</v>
      </c>
      <c r="C5" s="29" t="n">
        <v>5</v>
      </c>
      <c r="D5" s="29" t="n">
        <v>3</v>
      </c>
      <c r="E5" s="29" t="n">
        <v>1</v>
      </c>
      <c r="F5" s="29" t="n">
        <v>1</v>
      </c>
      <c r="G5" s="29">
        <f>F5</f>
        <v/>
      </c>
      <c r="H5" s="29" t="n">
        <v>4</v>
      </c>
      <c r="I5" s="29" t="n">
        <v>2</v>
      </c>
      <c r="J5" s="30" t="n">
        <v>250</v>
      </c>
      <c r="K5" s="30">
        <f>J5</f>
        <v/>
      </c>
      <c r="L5" s="30">
        <f>IF(G5&gt;0,K5/G5,"-")</f>
        <v/>
      </c>
    </row>
    <row r="6">
      <c r="A6" s="31" t="n">
        <v>46279</v>
      </c>
      <c r="B6" s="32" t="n"/>
      <c r="C6" s="32" t="n"/>
      <c r="D6" s="32" t="n"/>
      <c r="E6" s="32" t="n"/>
      <c r="F6" s="32" t="n"/>
      <c r="G6" s="33">
        <f>F6</f>
        <v/>
      </c>
      <c r="H6" s="32" t="n"/>
      <c r="I6" s="32" t="n"/>
      <c r="J6" s="34" t="n"/>
      <c r="K6" s="35">
        <f>J6</f>
        <v/>
      </c>
      <c r="L6" s="35">
        <f>IF(G6&gt;0,K6/G6,"-")</f>
        <v/>
      </c>
    </row>
    <row r="7">
      <c r="A7" s="36">
        <f>A6+7</f>
        <v/>
      </c>
      <c r="B7" s="32" t="n"/>
      <c r="C7" s="32" t="n"/>
      <c r="D7" s="32" t="n"/>
      <c r="E7" s="32" t="n"/>
      <c r="F7" s="32" t="n"/>
      <c r="G7" s="33">
        <f>G6+F7</f>
        <v/>
      </c>
      <c r="H7" s="32" t="n"/>
      <c r="I7" s="32" t="n"/>
      <c r="J7" s="34" t="n"/>
      <c r="K7" s="35">
        <f>K6+J7</f>
        <v/>
      </c>
      <c r="L7" s="35">
        <f>IF(G7&gt;0,K7/G7,"-")</f>
        <v/>
      </c>
    </row>
    <row r="8">
      <c r="A8" s="36">
        <f>A7+7</f>
        <v/>
      </c>
      <c r="B8" s="32" t="n"/>
      <c r="C8" s="32" t="n"/>
      <c r="D8" s="32" t="n"/>
      <c r="E8" s="32" t="n"/>
      <c r="F8" s="32" t="n"/>
      <c r="G8" s="33">
        <f>G7+F8</f>
        <v/>
      </c>
      <c r="H8" s="32" t="n"/>
      <c r="I8" s="32" t="n"/>
      <c r="J8" s="34" t="n"/>
      <c r="K8" s="35">
        <f>K7+J8</f>
        <v/>
      </c>
      <c r="L8" s="35">
        <f>IF(G8&gt;0,K8/G8,"-")</f>
        <v/>
      </c>
    </row>
    <row r="9">
      <c r="A9" s="36">
        <f>A8+7</f>
        <v/>
      </c>
      <c r="B9" s="32" t="n"/>
      <c r="C9" s="32" t="n"/>
      <c r="D9" s="32" t="n"/>
      <c r="E9" s="32" t="n"/>
      <c r="F9" s="32" t="n"/>
      <c r="G9" s="33">
        <f>G8+F9</f>
        <v/>
      </c>
      <c r="H9" s="32" t="n"/>
      <c r="I9" s="32" t="n"/>
      <c r="J9" s="34" t="n"/>
      <c r="K9" s="35">
        <f>K8+J9</f>
        <v/>
      </c>
      <c r="L9" s="35">
        <f>IF(G9&gt;0,K9/G9,"-")</f>
        <v/>
      </c>
    </row>
    <row r="10">
      <c r="A10" s="36">
        <f>A9+7</f>
        <v/>
      </c>
      <c r="B10" s="32" t="n"/>
      <c r="C10" s="32" t="n"/>
      <c r="D10" s="32" t="n"/>
      <c r="E10" s="32" t="n"/>
      <c r="F10" s="32" t="n"/>
      <c r="G10" s="33">
        <f>G9+F10</f>
        <v/>
      </c>
      <c r="H10" s="32" t="n"/>
      <c r="I10" s="32" t="n"/>
      <c r="J10" s="34" t="n"/>
      <c r="K10" s="35">
        <f>K9+J10</f>
        <v/>
      </c>
      <c r="L10" s="35">
        <f>IF(G10&gt;0,K10/G10,"-")</f>
        <v/>
      </c>
    </row>
    <row r="11">
      <c r="A11" s="36">
        <f>A10+7</f>
        <v/>
      </c>
      <c r="B11" s="32" t="n"/>
      <c r="C11" s="32" t="n"/>
      <c r="D11" s="32" t="n"/>
      <c r="E11" s="32" t="n"/>
      <c r="F11" s="32" t="n"/>
      <c r="G11" s="33">
        <f>G10+F11</f>
        <v/>
      </c>
      <c r="H11" s="32" t="n"/>
      <c r="I11" s="32" t="n"/>
      <c r="J11" s="34" t="n"/>
      <c r="K11" s="35">
        <f>K10+J11</f>
        <v/>
      </c>
      <c r="L11" s="35">
        <f>IF(G11&gt;0,K11/G11,"-")</f>
        <v/>
      </c>
    </row>
    <row r="12">
      <c r="A12" s="36">
        <f>A11+7</f>
        <v/>
      </c>
      <c r="B12" s="32" t="n"/>
      <c r="C12" s="32" t="n"/>
      <c r="D12" s="32" t="n"/>
      <c r="E12" s="32" t="n"/>
      <c r="F12" s="32" t="n"/>
      <c r="G12" s="33">
        <f>G11+F12</f>
        <v/>
      </c>
      <c r="H12" s="32" t="n"/>
      <c r="I12" s="32" t="n"/>
      <c r="J12" s="34" t="n"/>
      <c r="K12" s="35">
        <f>K11+J12</f>
        <v/>
      </c>
      <c r="L12" s="35">
        <f>IF(G12&gt;0,K12/G12,"-")</f>
        <v/>
      </c>
    </row>
    <row r="13">
      <c r="A13" s="36">
        <f>A12+7</f>
        <v/>
      </c>
      <c r="B13" s="32" t="n"/>
      <c r="C13" s="32" t="n"/>
      <c r="D13" s="32" t="n"/>
      <c r="E13" s="32" t="n"/>
      <c r="F13" s="32" t="n"/>
      <c r="G13" s="33">
        <f>G12+F13</f>
        <v/>
      </c>
      <c r="H13" s="32" t="n"/>
      <c r="I13" s="32" t="n"/>
      <c r="J13" s="34" t="n"/>
      <c r="K13" s="35">
        <f>K12+J13</f>
        <v/>
      </c>
      <c r="L13" s="35">
        <f>IF(G13&gt;0,K13/G13,"-")</f>
        <v/>
      </c>
    </row>
    <row r="14">
      <c r="A14" s="36">
        <f>A13+7</f>
        <v/>
      </c>
      <c r="B14" s="32" t="n"/>
      <c r="C14" s="32" t="n"/>
      <c r="D14" s="32" t="n"/>
      <c r="E14" s="32" t="n"/>
      <c r="F14" s="32" t="n"/>
      <c r="G14" s="33">
        <f>G13+F14</f>
        <v/>
      </c>
      <c r="H14" s="32" t="n"/>
      <c r="I14" s="32" t="n"/>
      <c r="J14" s="34" t="n"/>
      <c r="K14" s="35">
        <f>K13+J14</f>
        <v/>
      </c>
      <c r="L14" s="35">
        <f>IF(G14&gt;0,K14/G14,"-")</f>
        <v/>
      </c>
    </row>
    <row r="15">
      <c r="A15" s="36">
        <f>A14+7</f>
        <v/>
      </c>
      <c r="B15" s="32" t="n"/>
      <c r="C15" s="32" t="n"/>
      <c r="D15" s="32" t="n"/>
      <c r="E15" s="32" t="n"/>
      <c r="F15" s="32" t="n"/>
      <c r="G15" s="33">
        <f>G14+F15</f>
        <v/>
      </c>
      <c r="H15" s="32" t="n"/>
      <c r="I15" s="32" t="n"/>
      <c r="J15" s="34" t="n"/>
      <c r="K15" s="35">
        <f>K14+J15</f>
        <v/>
      </c>
      <c r="L15" s="35">
        <f>IF(G15&gt;0,K15/G15,"-")</f>
        <v/>
      </c>
    </row>
    <row r="16">
      <c r="A16" s="36">
        <f>A15+7</f>
        <v/>
      </c>
      <c r="B16" s="32" t="n"/>
      <c r="C16" s="32" t="n"/>
      <c r="D16" s="32" t="n"/>
      <c r="E16" s="32" t="n"/>
      <c r="F16" s="32" t="n"/>
      <c r="G16" s="33">
        <f>G15+F16</f>
        <v/>
      </c>
      <c r="H16" s="32" t="n"/>
      <c r="I16" s="32" t="n"/>
      <c r="J16" s="34" t="n"/>
      <c r="K16" s="35">
        <f>K15+J16</f>
        <v/>
      </c>
      <c r="L16" s="35">
        <f>IF(G16&gt;0,K16/G16,"-")</f>
        <v/>
      </c>
    </row>
    <row r="17">
      <c r="A17" s="36">
        <f>A16+7</f>
        <v/>
      </c>
      <c r="B17" s="32" t="n"/>
      <c r="C17" s="32" t="n"/>
      <c r="D17" s="32" t="n"/>
      <c r="E17" s="32" t="n"/>
      <c r="F17" s="32" t="n"/>
      <c r="G17" s="33">
        <f>G16+F17</f>
        <v/>
      </c>
      <c r="H17" s="32" t="n"/>
      <c r="I17" s="32" t="n"/>
      <c r="J17" s="34" t="n"/>
      <c r="K17" s="35">
        <f>K16+J17</f>
        <v/>
      </c>
      <c r="L17" s="35">
        <f>IF(G17&gt;0,K17/G17,"-")</f>
        <v/>
      </c>
    </row>
    <row r="18">
      <c r="A18" s="36">
        <f>A17+7</f>
        <v/>
      </c>
      <c r="B18" s="32" t="n"/>
      <c r="C18" s="32" t="n"/>
      <c r="D18" s="32" t="n"/>
      <c r="E18" s="32" t="n"/>
      <c r="F18" s="32" t="n"/>
      <c r="G18" s="33">
        <f>G17+F18</f>
        <v/>
      </c>
      <c r="H18" s="32" t="n"/>
      <c r="I18" s="32" t="n"/>
      <c r="J18" s="34" t="n"/>
      <c r="K18" s="35">
        <f>K17+J18</f>
        <v/>
      </c>
      <c r="L18" s="35">
        <f>IF(G18&gt;0,K18/G18,"-")</f>
        <v/>
      </c>
    </row>
    <row r="19">
      <c r="A19" s="37" t="inlineStr">
        <is>
          <t>13-week total</t>
        </is>
      </c>
      <c r="B19" s="38">
        <f>SUM(B6:B18)</f>
        <v/>
      </c>
      <c r="C19" s="38">
        <f>SUM(C6:C18)</f>
        <v/>
      </c>
      <c r="D19" s="38">
        <f>SUM(D6:D18)</f>
        <v/>
      </c>
      <c r="E19" s="38">
        <f>SUM(E6:E18)</f>
        <v/>
      </c>
      <c r="F19" s="38">
        <f>SUM(F6:F18)</f>
        <v/>
      </c>
      <c r="G19" s="38">
        <f>G18</f>
        <v/>
      </c>
      <c r="H19" s="38">
        <f>MAX(H6:H18)</f>
        <v/>
      </c>
      <c r="I19" s="39">
        <f>IF(COUNT(I6:I18)&gt;0,MEDIAN(I6:I18),"-")</f>
        <v/>
      </c>
      <c r="J19" s="40">
        <f>SUM(J6:J18)</f>
        <v/>
      </c>
      <c r="K19" s="40">
        <f>K18</f>
        <v/>
      </c>
      <c r="L19" s="40">
        <f>IF(G19&gt;0,K19/G19,"-")</f>
        <v/>
      </c>
    </row>
    <row r="21">
      <c r="A21" s="41" t="inlineStr">
        <is>
          <t>Targets for the first 90 days: reply to every lead within 1 hour on business days; 10+ Google reviews; cost per door under the max on Door Economics.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1" customWidth="1" min="4" max="4"/>
    <col width="12" customWidth="1" min="5" max="5"/>
    <col width="14" customWidth="1" min="6" max="6"/>
    <col width="14" customWidth="1" min="7" max="7"/>
    <col width="13" customWidth="1" min="8" max="8"/>
    <col width="22" customWidth="1" min="9" max="9"/>
    <col width="36" customWidth="1" min="10" max="10"/>
  </cols>
  <sheetData>
    <row r="1">
      <c r="A1" s="7" t="inlineStr">
        <is>
          <t>Channels</t>
        </is>
      </c>
    </row>
    <row r="2">
      <c r="A2" s="8" t="inlineStr">
        <is>
          <t>Keep a running total per channel. Status compares cost per door with the max on Door Economics.</t>
        </is>
      </c>
    </row>
    <row r="4" ht="30" customHeight="1">
      <c r="A4" s="26" t="inlineStr">
        <is>
          <t>Channel</t>
        </is>
      </c>
      <c r="B4" s="27" t="inlineStr">
        <is>
          <t>Spend ($)</t>
        </is>
      </c>
      <c r="C4" s="27" t="inlineStr">
        <is>
          <t>Leads</t>
        </is>
      </c>
      <c r="D4" s="27" t="inlineStr">
        <is>
          <t>Consults</t>
        </is>
      </c>
      <c r="E4" s="27" t="inlineStr">
        <is>
          <t>Signed doors</t>
        </is>
      </c>
      <c r="F4" s="27" t="inlineStr">
        <is>
          <t>Cost per lead ($)</t>
        </is>
      </c>
      <c r="G4" s="27" t="inlineStr">
        <is>
          <t>Cost per door ($)</t>
        </is>
      </c>
      <c r="H4" s="27" t="inlineStr">
        <is>
          <t>Lead → door rate</t>
        </is>
      </c>
      <c r="I4" s="27" t="inlineStr">
        <is>
          <t>Status</t>
        </is>
      </c>
      <c r="J4" s="27" t="inlineStr">
        <is>
          <t>Lead email tag</t>
        </is>
      </c>
    </row>
    <row r="5">
      <c r="A5" s="11" t="inlineStr">
        <is>
          <t>Google Business Profile</t>
        </is>
      </c>
      <c r="B5" s="34" t="n"/>
      <c r="C5" s="32" t="n"/>
      <c r="D5" s="32" t="n"/>
      <c r="E5" s="32" t="n"/>
      <c r="F5" s="35">
        <f>IF(C5&gt;0,B5/C5,"-")</f>
        <v/>
      </c>
      <c r="G5" s="35">
        <f>IF(E5&gt;0,B5/E5,"-")</f>
        <v/>
      </c>
      <c r="H5" s="42">
        <f>IF(C5&gt;0,E5/C5,"-")</f>
        <v/>
      </c>
      <c r="I5" s="43">
        <f>IF(E5=0,IF(B5&gt;0,"No doors yet","-"),IF(B5/E5&lt;='Door Economics'!$B$23,"Scale up","Fix or cut"))</f>
        <v/>
      </c>
      <c r="J5" s="44" t="inlineStr">
        <is>
          <t>google_business_profile / organic</t>
        </is>
      </c>
    </row>
    <row r="6">
      <c r="A6" s="11" t="inlineStr">
        <is>
          <t>Postcards (absentee owners)</t>
        </is>
      </c>
      <c r="B6" s="34" t="n"/>
      <c r="C6" s="32" t="n"/>
      <c r="D6" s="32" t="n"/>
      <c r="E6" s="32" t="n"/>
      <c r="F6" s="35">
        <f>IF(C6&gt;0,B6/C6,"-")</f>
        <v/>
      </c>
      <c r="G6" s="35">
        <f>IF(E6&gt;0,B6/E6,"-")</f>
        <v/>
      </c>
      <c r="H6" s="42">
        <f>IF(C6&gt;0,E6/C6,"-")</f>
        <v/>
      </c>
      <c r="I6" s="43">
        <f>IF(E6=0,IF(B6&gt;0,"No doors yet","-"),IF(B6/E6&lt;='Door Economics'!$B$23,"Scale up","Fix or cut"))</f>
        <v/>
      </c>
      <c r="J6" s="44" t="inlineStr">
        <is>
          <t>postcard / direct_mail</t>
        </is>
      </c>
    </row>
    <row r="7">
      <c r="A7" s="11" t="inlineStr">
        <is>
          <t>Agent referrals</t>
        </is>
      </c>
      <c r="B7" s="34" t="n"/>
      <c r="C7" s="32" t="n"/>
      <c r="D7" s="32" t="n"/>
      <c r="E7" s="32" t="n"/>
      <c r="F7" s="35">
        <f>IF(C7&gt;0,B7/C7,"-")</f>
        <v/>
      </c>
      <c r="G7" s="35">
        <f>IF(E7&gt;0,B7/E7,"-")</f>
        <v/>
      </c>
      <c r="H7" s="42">
        <f>IF(C7&gt;0,E7/C7,"-")</f>
        <v/>
      </c>
      <c r="I7" s="43">
        <f>IF(E7=0,IF(B7&gt;0,"No doors yet","-"),IF(B7/E7&lt;='Door Economics'!$B$23,"Scale up","Fix or cut"))</f>
        <v/>
      </c>
      <c r="J7" s="44" t="inlineStr">
        <is>
          <t>agent_onepager / print</t>
        </is>
      </c>
    </row>
    <row r="8">
      <c r="A8" s="11" t="inlineStr">
        <is>
          <t>Switch outreach</t>
        </is>
      </c>
      <c r="B8" s="34" t="n"/>
      <c r="C8" s="32" t="n"/>
      <c r="D8" s="32" t="n"/>
      <c r="E8" s="32" t="n"/>
      <c r="F8" s="35">
        <f>IF(C8&gt;0,B8/C8,"-")</f>
        <v/>
      </c>
      <c r="G8" s="35">
        <f>IF(E8&gt;0,B8/E8,"-")</f>
        <v/>
      </c>
      <c r="H8" s="42">
        <f>IF(C8&gt;0,E8/C8,"-")</f>
        <v/>
      </c>
      <c r="I8" s="43">
        <f>IF(E8=0,IF(B8&gt;0,"No doors yet","-"),IF(B8/E8&lt;='Door Economics'!$B$23,"Scale up","Fix or cut"))</f>
        <v/>
      </c>
      <c r="J8" s="44" t="inlineStr">
        <is>
          <t>outreach / offline</t>
        </is>
      </c>
    </row>
    <row r="9">
      <c r="A9" s="11" t="inlineStr">
        <is>
          <t>Social media (organic)</t>
        </is>
      </c>
      <c r="B9" s="34" t="n"/>
      <c r="C9" s="32" t="n"/>
      <c r="D9" s="32" t="n"/>
      <c r="E9" s="32" t="n"/>
      <c r="F9" s="35">
        <f>IF(C9&gt;0,B9/C9,"-")</f>
        <v/>
      </c>
      <c r="G9" s="35">
        <f>IF(E9&gt;0,B9/E9,"-")</f>
        <v/>
      </c>
      <c r="H9" s="42">
        <f>IF(C9&gt;0,E9/C9,"-")</f>
        <v/>
      </c>
      <c r="I9" s="43">
        <f>IF(E9=0,IF(B9&gt;0,"No doors yet","-"),IF(B9/E9&lt;='Door Economics'!$B$23,"Scale up","Fix or cut"))</f>
        <v/>
      </c>
      <c r="J9" s="44" t="inlineStr">
        <is>
          <t>facebook.com, instagram.com, linkedin.com</t>
        </is>
      </c>
    </row>
    <row r="10">
      <c r="A10" s="11" t="inlineStr">
        <is>
          <t>Google Ads</t>
        </is>
      </c>
      <c r="B10" s="34" t="n"/>
      <c r="C10" s="32" t="n"/>
      <c r="D10" s="32" t="n"/>
      <c r="E10" s="32" t="n"/>
      <c r="F10" s="35">
        <f>IF(C10&gt;0,B10/C10,"-")</f>
        <v/>
      </c>
      <c r="G10" s="35">
        <f>IF(E10&gt;0,B10/E10,"-")</f>
        <v/>
      </c>
      <c r="H10" s="42">
        <f>IF(C10&gt;0,E10/C10,"-")</f>
        <v/>
      </c>
      <c r="I10" s="43">
        <f>IF(E10=0,IF(B10&gt;0,"No doors yet","-"),IF(B10/E10&lt;='Door Economics'!$B$23,"Scale up","Fix or cut"))</f>
        <v/>
      </c>
      <c r="J10" s="44" t="inlineStr">
        <is>
          <t>google ads</t>
        </is>
      </c>
    </row>
    <row r="11">
      <c r="A11" s="11" t="inlineStr">
        <is>
          <t>Meta Ads</t>
        </is>
      </c>
      <c r="B11" s="34" t="n"/>
      <c r="C11" s="32" t="n"/>
      <c r="D11" s="32" t="n"/>
      <c r="E11" s="32" t="n"/>
      <c r="F11" s="35">
        <f>IF(C11&gt;0,B11/C11,"-")</f>
        <v/>
      </c>
      <c r="G11" s="35">
        <f>IF(E11&gt;0,B11/E11,"-")</f>
        <v/>
      </c>
      <c r="H11" s="42">
        <f>IF(C11&gt;0,E11/C11,"-")</f>
        <v/>
      </c>
      <c r="I11" s="43">
        <f>IF(E11=0,IF(B11&gt;0,"No doors yet","-"),IF(B11/E11&lt;='Door Economics'!$B$23,"Scale up","Fix or cut"))</f>
        <v/>
      </c>
      <c r="J11" s="44" t="inlineStr">
        <is>
          <t>meta</t>
        </is>
      </c>
    </row>
    <row r="12">
      <c r="A12" s="11" t="inlineStr">
        <is>
          <t>Website / SEO</t>
        </is>
      </c>
      <c r="B12" s="34" t="n"/>
      <c r="C12" s="32" t="n"/>
      <c r="D12" s="32" t="n"/>
      <c r="E12" s="32" t="n"/>
      <c r="F12" s="35">
        <f>IF(C12&gt;0,B12/C12,"-")</f>
        <v/>
      </c>
      <c r="G12" s="35">
        <f>IF(E12&gt;0,B12/E12,"-")</f>
        <v/>
      </c>
      <c r="H12" s="42">
        <f>IF(C12&gt;0,E12/C12,"-")</f>
        <v/>
      </c>
      <c r="I12" s="43">
        <f>IF(E12=0,IF(B12&gt;0,"No doors yet","-"),IF(B12/E12&lt;='Door Economics'!$B$23,"Scale up","Fix or cut"))</f>
        <v/>
      </c>
      <c r="J12" s="44" t="inlineStr">
        <is>
          <t>google.com, bing.com</t>
        </is>
      </c>
    </row>
    <row r="13">
      <c r="A13" s="11" t="inlineStr">
        <is>
          <t>Word of mouth / direct</t>
        </is>
      </c>
      <c r="B13" s="34" t="n"/>
      <c r="C13" s="32" t="n"/>
      <c r="D13" s="32" t="n"/>
      <c r="E13" s="32" t="n"/>
      <c r="F13" s="35">
        <f>IF(C13&gt;0,B13/C13,"-")</f>
        <v/>
      </c>
      <c r="G13" s="35">
        <f>IF(E13&gt;0,B13/E13,"-")</f>
        <v/>
      </c>
      <c r="H13" s="42">
        <f>IF(C13&gt;0,E13/C13,"-")</f>
        <v/>
      </c>
      <c r="I13" s="43">
        <f>IF(E13=0,IF(B13&gt;0,"No doors yet","-"),IF(B13/E13&lt;='Door Economics'!$B$23,"Scale up","Fix or cut"))</f>
        <v/>
      </c>
      <c r="J13" s="44" t="inlineStr">
        <is>
          <t>direct</t>
        </is>
      </c>
    </row>
    <row r="14">
      <c r="A14" s="37" t="inlineStr">
        <is>
          <t>Total</t>
        </is>
      </c>
      <c r="B14" s="40">
        <f>SUM(B5:B13)</f>
        <v/>
      </c>
      <c r="C14" s="38">
        <f>SUM(C5:C13)</f>
        <v/>
      </c>
      <c r="D14" s="38">
        <f>SUM(D5:D13)</f>
        <v/>
      </c>
      <c r="E14" s="38">
        <f>SUM(E5:E13)</f>
        <v/>
      </c>
      <c r="F14" s="40">
        <f>IF(C14&gt;0,B14/C14,"-")</f>
        <v/>
      </c>
      <c r="G14" s="40">
        <f>IF(E14&gt;0,B14/E14,"-")</f>
        <v/>
      </c>
      <c r="H14" s="45">
        <f>IF(C14&gt;0,E14/C14,"-")</f>
        <v/>
      </c>
      <c r="I14" s="10" t="n"/>
      <c r="J14" s="1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2026-09-11T23:28:14Z</dcterms:created>
  <dcterms:modified xsi:type="dcterms:W3CDTF">2026-09-11T23:28:14Z</dcterms:modified>
</cp:coreProperties>
</file>