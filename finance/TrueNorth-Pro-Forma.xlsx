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sts" sheetId="3" state="visible" r:id="rId3"/>
    <sheet name="Profit and Loss" sheetId="4" state="visible" r:id="rId4"/>
    <sheet name="Unit Economics" sheetId="5" state="visible" r:id="rId5"/>
    <sheet name="Managing Agent" sheetId="6" state="visible" r:id="rId6"/>
    <sheet name="PM and E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i val="1"/>
      <color rgb="006B7280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7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167" fontId="5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4" fontId="5" fillId="2" borderId="1" applyAlignment="1" pivotButton="0" quotePrefix="0" xfId="0">
      <alignment horizontal="center"/>
    </xf>
    <xf numFmtId="168" fontId="4" fillId="0" borderId="1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5" fillId="2" borderId="1" pivotButton="0" quotePrefix="0" xfId="0"/>
    <xf numFmtId="165" fontId="8" fillId="0" borderId="1" pivotButton="0" quotePrefix="0" xfId="0"/>
    <xf numFmtId="169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THE MODEL</t>
        </is>
      </c>
    </row>
    <row r="5">
      <c r="A5" s="2" t="inlineStr">
        <is>
          <t>$29 per agent per month. $399 per closed transaction. You shoot listing media yourself and the</t>
        </is>
      </c>
    </row>
    <row r="6">
      <c r="A6" s="2" t="inlineStr">
        <is>
          <t>brokerage absorbs the $65 edit. Flyers and signage are sold to the agent at cost plus a markup.</t>
        </is>
      </c>
    </row>
    <row r="7">
      <c r="A7" s="2" t="inlineStr">
        <is>
          <t>Agents carry their own E&amp;O, dues, MLS, and e-signature.</t>
        </is>
      </c>
    </row>
    <row r="8">
      <c r="A8" s="2" t="inlineStr"/>
    </row>
    <row r="9">
      <c r="A9" s="3" t="inlineStr">
        <is>
          <t>TWO SWITCHES</t>
        </is>
      </c>
    </row>
    <row r="10">
      <c r="A10" s="2" t="inlineStr">
        <is>
          <t xml:space="preserve">  Assumptions!B3   Conservative, Modest, or Aggressive growth.</t>
        </is>
      </c>
    </row>
    <row r="11">
      <c r="A11" s="2" t="inlineStr">
        <is>
          <t xml:space="preserve">  Costs!B3         Whether your own hours count as a cost. 1 = yes, and that is the honest view.</t>
        </is>
      </c>
    </row>
    <row r="12">
      <c r="A12" s="2" t="inlineStr"/>
    </row>
    <row r="13">
      <c r="A13" s="3" t="inlineStr">
        <is>
          <t>WHAT IT SAYS AT THE MODEST CASE</t>
        </is>
      </c>
    </row>
    <row r="14">
      <c r="A14" s="2" t="inlineStr">
        <is>
          <t>Fixed costs are $350 a month. Break-even is under 2 agents on cash, 2.5 with your time costed.</t>
        </is>
      </c>
    </row>
    <row r="15">
      <c r="A15" s="2" t="inlineStr">
        <is>
          <t>You and your mother clear that on day one. Year-1 cash profit lands near $14,000 and year 2 opens</t>
        </is>
      </c>
    </row>
    <row r="16">
      <c r="A16" s="2" t="inlineStr">
        <is>
          <t>at roughly a $24,000 run rate.</t>
        </is>
      </c>
    </row>
    <row r="17">
      <c r="A17" s="2" t="inlineStr"/>
    </row>
    <row r="18">
      <c r="A18" s="3" t="inlineStr">
        <is>
          <t>THREE THINGS THE MODEL CANNOT ENFORCE</t>
        </is>
      </c>
    </row>
    <row r="19">
      <c r="A19" s="2" t="inlineStr">
        <is>
          <t xml:space="preserve">  1. Escrow reconciliation. Rule 61J2-14.012 requires a signed monthly reconciliation of every</t>
        </is>
      </c>
    </row>
    <row r="20">
      <c r="A20" s="2" t="inlineStr">
        <is>
          <t xml:space="preserve">     escrow account whether or not you pay a bookkeeper. Calendar it for the 5th and keep five</t>
        </is>
      </c>
    </row>
    <row r="21">
      <c r="A21" s="2" t="inlineStr">
        <is>
          <t xml:space="preserve">     years of signed statements.</t>
        </is>
      </c>
    </row>
    <row r="22">
      <c r="A22" s="2" t="inlineStr">
        <is>
          <t xml:space="preserve">  2. One-time legal. There is no retainer in this budget, and there should not be. Budget $800</t>
        </is>
      </c>
    </row>
    <row r="23">
      <c r="A23" s="2" t="inlineStr">
        <is>
          <t xml:space="preserve">     to $1,500 once, for an attorney to read the independent contractor agreement and the packet</t>
        </is>
      </c>
    </row>
    <row r="24">
      <c r="A24" s="2" t="inlineStr">
        <is>
          <t xml:space="preserve">     before your first agent signs.</t>
        </is>
      </c>
    </row>
    <row r="25">
      <c r="A25" s="2" t="inlineStr">
        <is>
          <t xml:space="preserve">  3. Bodily injury. E&amp;O does not cover someone tripping at your open house. General liability is</t>
        </is>
      </c>
    </row>
    <row r="26">
      <c r="A26" s="2" t="inlineStr">
        <is>
          <t xml:space="preserve">     $400-700 a year. Revisit before you host one.</t>
        </is>
      </c>
    </row>
    <row r="27">
      <c r="A27" s="2" t="inlineStr"/>
    </row>
    <row r="28">
      <c r="A28" s="3" t="inlineStr">
        <is>
          <t>AND ONE THAT RETURNS</t>
        </is>
      </c>
    </row>
    <row r="29">
      <c r="A29" s="2" t="inlineStr">
        <is>
          <t>Association and MLS dues are prepaid through 2027, so they read as zero here. They are a real</t>
        </is>
      </c>
    </row>
    <row r="30">
      <c r="A30" s="2" t="inlineStr">
        <is>
          <t>$85 a month that reappears in 2028. Break-even goes to 2.2 agents when it does.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2" customWidth="1" min="6" max="6"/>
  </cols>
  <sheetData>
    <row r="1">
      <c r="A1" s="1" t="inlineStr">
        <is>
          <t>Assumptions</t>
        </is>
      </c>
    </row>
    <row r="3">
      <c r="A3" s="4" t="inlineStr">
        <is>
          <t>Growth case</t>
        </is>
      </c>
      <c r="B3" s="5" t="inlineStr">
        <is>
          <t>Modest</t>
        </is>
      </c>
    </row>
    <row r="5" ht="26" customHeight="1">
      <c r="A5" s="6" t="inlineStr">
        <is>
          <t>Driver</t>
        </is>
      </c>
      <c r="B5" s="7" t="inlineStr">
        <is>
          <t>Conservative</t>
        </is>
      </c>
      <c r="C5" s="7" t="inlineStr">
        <is>
          <t>Modest</t>
        </is>
      </c>
      <c r="D5" s="7" t="inlineStr">
        <is>
          <t>Aggressive</t>
        </is>
      </c>
      <c r="E5" s="7" t="inlineStr">
        <is>
          <t>Active</t>
        </is>
      </c>
      <c r="F5" s="7" t="inlineStr">
        <is>
          <t>Note</t>
        </is>
      </c>
    </row>
    <row r="6">
      <c r="A6" s="8" t="inlineStr">
        <is>
          <t>Agents at start</t>
        </is>
      </c>
      <c r="B6" s="9" t="n">
        <v>2</v>
      </c>
      <c r="C6" s="9" t="n">
        <v>2</v>
      </c>
      <c r="D6" s="9" t="n">
        <v>2</v>
      </c>
      <c r="E6" s="10">
        <f>INDEX(B6:D6,MATCH($B$3,$B$5:$D$5,0))</f>
        <v/>
      </c>
      <c r="F6" s="11" t="inlineStr">
        <is>
          <t>You and your mother.</t>
        </is>
      </c>
    </row>
    <row r="7">
      <c r="A7" s="8" t="inlineStr">
        <is>
          <t>Net new agents per month, months 1-12</t>
        </is>
      </c>
      <c r="B7" s="12" t="n">
        <v>0.5</v>
      </c>
      <c r="C7" s="12" t="n">
        <v>1</v>
      </c>
      <c r="D7" s="12" t="n">
        <v>2</v>
      </c>
      <c r="E7" s="13">
        <f>INDEX(B7:D7,MATCH($B$3,$B$5:$D$5,0))</f>
        <v/>
      </c>
      <c r="F7" s="11" t="inlineStr">
        <is>
          <t>Recruiting pace. One a month is believable for a new brokerage with this pitch.</t>
        </is>
      </c>
    </row>
    <row r="8">
      <c r="A8" s="8" t="inlineStr">
        <is>
          <t>Net new agents per month, months 13-24</t>
        </is>
      </c>
      <c r="B8" s="12" t="n">
        <v>1</v>
      </c>
      <c r="C8" s="12" t="n">
        <v>2</v>
      </c>
      <c r="D8" s="12" t="n">
        <v>3.5</v>
      </c>
      <c r="E8" s="13">
        <f>INDEX(B8:D8,MATCH($B$3,$B$5:$D$5,0))</f>
        <v/>
      </c>
      <c r="F8" s="11" t="inlineStr"/>
    </row>
    <row r="9">
      <c r="A9" s="8" t="inlineStr">
        <is>
          <t>Annual agent attrition</t>
        </is>
      </c>
      <c r="B9" s="14" t="n">
        <v>0.2</v>
      </c>
      <c r="C9" s="14" t="n">
        <v>0.25</v>
      </c>
      <c r="D9" s="14" t="n">
        <v>0.3</v>
      </c>
      <c r="E9" s="15">
        <f>INDEX(B9:D9,MATCH($B$3,$B$5:$D$5,0))</f>
        <v/>
      </c>
      <c r="F9" s="11" t="inlineStr">
        <is>
          <t>Faster recruiting usually means looser screening.</t>
        </is>
      </c>
    </row>
    <row r="10">
      <c r="A10" s="8" t="inlineStr">
        <is>
          <t>Transactions per agent per month</t>
        </is>
      </c>
      <c r="B10" s="12" t="n">
        <v>0.35</v>
      </c>
      <c r="C10" s="12" t="n">
        <v>0.5</v>
      </c>
      <c r="D10" s="12" t="n">
        <v>0.7</v>
      </c>
      <c r="E10" s="13">
        <f>INDEX(B10:D10,MATCH($B$3,$B$5:$D$5,0))</f>
        <v/>
      </c>
      <c r="F10" s="11" t="inlineStr">
        <is>
          <t>0.5 is six closings a year per agent.</t>
        </is>
      </c>
    </row>
    <row r="11">
      <c r="A11" s="8" t="inlineStr">
        <is>
          <t>Share of transactions that are listing side</t>
        </is>
      </c>
      <c r="B11" s="14" t="n">
        <v>0.35</v>
      </c>
      <c r="C11" s="14" t="n">
        <v>0.45</v>
      </c>
      <c r="D11" s="14" t="n">
        <v>0.55</v>
      </c>
      <c r="E11" s="15">
        <f>INDEX(B11:D11,MATCH($B$3,$B$5:$D$5,0))</f>
        <v/>
      </c>
      <c r="F11" s="11" t="inlineStr">
        <is>
          <t>Listings cost you camera time.</t>
        </is>
      </c>
    </row>
    <row r="12">
      <c r="A12" s="8" t="inlineStr">
        <is>
          <t>Media attach rate on listings</t>
        </is>
      </c>
      <c r="B12" s="14" t="n">
        <v>1</v>
      </c>
      <c r="C12" s="14" t="n">
        <v>0.85</v>
      </c>
      <c r="D12" s="14" t="n">
        <v>0.75</v>
      </c>
      <c r="E12" s="15">
        <f>INDEX(B12:D12,MATCH($B$3,$B$5:$D$5,0))</f>
        <v/>
      </c>
      <c r="F12" s="11" t="inlineStr">
        <is>
          <t>Not every listing needs video.</t>
        </is>
      </c>
    </row>
    <row r="13">
      <c r="A13" s="8" t="inlineStr">
        <is>
          <t>PM doors at start</t>
        </is>
      </c>
      <c r="B13" s="9" t="n">
        <v>3</v>
      </c>
      <c r="C13" s="9" t="n">
        <v>5</v>
      </c>
      <c r="D13" s="9" t="n">
        <v>8</v>
      </c>
      <c r="E13" s="10">
        <f>INDEX(B13:D13,MATCH($B$3,$B$5:$D$5,0))</f>
        <v/>
      </c>
      <c r="F13" s="11" t="inlineStr"/>
    </row>
    <row r="14">
      <c r="A14" s="8" t="inlineStr">
        <is>
          <t>PM doors added per month</t>
        </is>
      </c>
      <c r="B14" s="12" t="n">
        <v>1</v>
      </c>
      <c r="C14" s="12" t="n">
        <v>2</v>
      </c>
      <c r="D14" s="12" t="n">
        <v>3.5</v>
      </c>
      <c r="E14" s="13">
        <f>INDEX(B14:D14,MATCH($B$3,$B$5:$D$5,0))</f>
        <v/>
      </c>
      <c r="F14" s="11" t="inlineStr">
        <is>
          <t>The asset. See PM and EV.</t>
        </is>
      </c>
    </row>
    <row r="15">
      <c r="A15" s="8" t="inlineStr">
        <is>
          <t>PM monthly fee per door</t>
        </is>
      </c>
      <c r="B15" s="16" t="n">
        <v>129</v>
      </c>
      <c r="C15" s="16" t="n">
        <v>149</v>
      </c>
      <c r="D15" s="16" t="n">
        <v>169</v>
      </c>
      <c r="E15" s="17">
        <f>INDEX(B15:D15,MATCH($B$3,$B$5:$D$5,0))</f>
        <v/>
      </c>
      <c r="F15" s="11" t="inlineStr"/>
    </row>
    <row r="17">
      <c r="A17" s="18" t="inlineStr">
        <is>
          <t>Pricing</t>
        </is>
      </c>
      <c r="B17" s="19" t="n"/>
      <c r="C17" s="19" t="n"/>
      <c r="D17" s="19" t="n"/>
      <c r="E17" s="19" t="n"/>
      <c r="F17" s="19" t="n"/>
    </row>
    <row r="18">
      <c r="A18" s="8" t="inlineStr">
        <is>
          <t>Monthly fee per agent</t>
        </is>
      </c>
      <c r="B18" s="16" t="n">
        <v>29</v>
      </c>
      <c r="F18" s="11" t="inlineStr">
        <is>
          <t>Your number.</t>
        </is>
      </c>
    </row>
    <row r="19">
      <c r="A19" s="8" t="inlineStr">
        <is>
          <t>Transaction fee</t>
        </is>
      </c>
      <c r="B19" s="16" t="n">
        <v>399</v>
      </c>
      <c r="F19" s="11" t="inlineStr">
        <is>
          <t>Your number. Charged on every closed side.</t>
        </is>
      </c>
    </row>
    <row r="20">
      <c r="A20" s="8" t="inlineStr">
        <is>
          <t>Media fee charged to the agent</t>
        </is>
      </c>
      <c r="B20" s="16" t="n">
        <v>0</v>
      </c>
      <c r="F20" s="11" t="inlineStr">
        <is>
          <t>Currently none. Every $50 here adds about $0.5k a year at 12 agents.</t>
        </is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58" customWidth="1" min="3" max="3"/>
  </cols>
  <sheetData>
    <row r="1">
      <c r="A1" s="1" t="inlineStr">
        <is>
          <t>Costs</t>
        </is>
      </c>
    </row>
    <row r="3">
      <c r="A3" s="4" t="inlineStr">
        <is>
          <t>Count your own time as a cost?</t>
        </is>
      </c>
      <c r="B3" s="20" t="n">
        <v>1</v>
      </c>
      <c r="C3" s="11" t="inlineStr">
        <is>
          <t>1 = yes, the honest view. 0 = cash only.</t>
        </is>
      </c>
    </row>
    <row r="5">
      <c r="A5" s="18" t="inlineStr">
        <is>
          <t>Fixed monthly</t>
        </is>
      </c>
      <c r="B5" s="19" t="n"/>
      <c r="C5" s="19" t="n"/>
    </row>
    <row r="6">
      <c r="A6" s="8" t="inlineStr">
        <is>
          <t>Brokerage E&amp;O policy</t>
        </is>
      </c>
      <c r="B6" s="16" t="n">
        <v>80</v>
      </c>
      <c r="C6" s="11" t="inlineStr">
        <is>
          <t>Your quoted premium. Agents carry their own on top.</t>
        </is>
      </c>
    </row>
    <row r="7">
      <c r="A7" s="8" t="inlineStr">
        <is>
          <t>General liability</t>
        </is>
      </c>
      <c r="B7" s="16" t="n">
        <v>0</v>
      </c>
      <c r="C7" s="11" t="inlineStr">
        <is>
          <t>Declined. E&amp;O does not cover bodily injury at an open house.</t>
        </is>
      </c>
    </row>
    <row r="8">
      <c r="A8" s="8" t="inlineStr">
        <is>
          <t>Association and MLS dues</t>
        </is>
      </c>
      <c r="B8" s="16" t="n">
        <v>0</v>
      </c>
      <c r="C8" s="11" t="inlineStr">
        <is>
          <t>Prepaid through 2027. Real cost is about $85/month and returns in 2028.</t>
        </is>
      </c>
    </row>
    <row r="9">
      <c r="A9" s="8" t="inlineStr">
        <is>
          <t>Bookkeeping</t>
        </is>
      </c>
      <c r="B9" s="16" t="n">
        <v>0</v>
      </c>
      <c r="C9" s="11" t="inlineStr">
        <is>
          <t>In-house. Escrow still needs a signed monthly reconciliation.</t>
        </is>
      </c>
    </row>
    <row r="10">
      <c r="A10" s="8" t="inlineStr">
        <is>
          <t>Legal retainer</t>
        </is>
      </c>
      <c r="B10" s="16" t="n">
        <v>0</v>
      </c>
      <c r="C10" s="11" t="inlineStr">
        <is>
          <t>None. Budget $800-1,500 once for the ICA and packet review.</t>
        </is>
      </c>
    </row>
    <row r="11">
      <c r="A11" s="8" t="inlineStr">
        <is>
          <t>DocuSign Business Pro, one seat</t>
        </is>
      </c>
      <c r="B11" s="16" t="n">
        <v>45</v>
      </c>
      <c r="C11" s="11" t="inlineStr">
        <is>
          <t>Only for the agent-packet PowerForm.</t>
        </is>
      </c>
    </row>
    <row r="12">
      <c r="A12" s="8" t="inlineStr">
        <is>
          <t>Email</t>
        </is>
      </c>
      <c r="B12" s="16" t="n">
        <v>0</v>
      </c>
      <c r="C12" s="11" t="inlineStr">
        <is>
          <t>Outlook, prepaid for the year. Agent aliases forward free.</t>
        </is>
      </c>
    </row>
    <row r="13">
      <c r="A13" s="8" t="inlineStr">
        <is>
          <t>Website hosting and domain</t>
        </is>
      </c>
      <c r="B13" s="16" t="n">
        <v>0</v>
      </c>
      <c r="C13" s="11" t="inlineStr">
        <is>
          <t>Vercel free tier.</t>
        </is>
      </c>
    </row>
    <row r="14">
      <c r="A14" s="8" t="inlineStr">
        <is>
          <t>Banking and escrow fees</t>
        </is>
      </c>
      <c r="B14" s="16" t="n">
        <v>25</v>
      </c>
      <c r="C14" s="11" t="inlineStr">
        <is>
          <t>Often $0 with the right business account.</t>
        </is>
      </c>
    </row>
    <row r="15">
      <c r="A15" s="8" t="inlineStr">
        <is>
          <t>Recruiting and marketing</t>
        </is>
      </c>
      <c r="B15" s="16" t="n">
        <v>200</v>
      </c>
      <c r="C15" s="11" t="inlineStr">
        <is>
          <t>Discretionary. Your only throttle.</t>
        </is>
      </c>
    </row>
    <row r="16">
      <c r="A16" s="4" t="inlineStr">
        <is>
          <t>Total fixed monthly</t>
        </is>
      </c>
      <c r="B16" s="17">
        <f>SUM(B6:B15)</f>
        <v/>
      </c>
    </row>
    <row r="18">
      <c r="A18" s="18" t="inlineStr">
        <is>
          <t>Per agent and per transaction</t>
        </is>
      </c>
      <c r="B18" s="19" t="n"/>
      <c r="C18" s="19" t="n"/>
    </row>
    <row r="19">
      <c r="A19" s="8" t="inlineStr">
        <is>
          <t>Email alias and admin, per agent per month</t>
        </is>
      </c>
      <c r="B19" s="16" t="n">
        <v>0</v>
      </c>
      <c r="C19" s="11" t="inlineStr">
        <is>
          <t>Aliases forwarding to their own inbox cost nothing.</t>
        </is>
      </c>
    </row>
    <row r="20">
      <c r="A20" s="8" t="inlineStr">
        <is>
          <t>Banking and file handling, per transaction</t>
        </is>
      </c>
      <c r="B20" s="16" t="n">
        <v>8</v>
      </c>
      <c r="C20" s="11" t="inlineStr">
        <is>
          <t>Cash cost.</t>
        </is>
      </c>
    </row>
    <row r="21">
      <c r="A21" s="8" t="inlineStr">
        <is>
          <t>Your admin time per transaction</t>
        </is>
      </c>
      <c r="B21" s="16" t="n">
        <v>35</v>
      </c>
      <c r="C21" s="11" t="inlineStr">
        <is>
          <t>Compliance review and file handling, costed at your rate.</t>
        </is>
      </c>
    </row>
    <row r="23">
      <c r="A23" s="18" t="inlineStr">
        <is>
          <t>Listing media — you shoot it</t>
        </is>
      </c>
      <c r="B23" s="19" t="n"/>
      <c r="C23" s="19" t="n"/>
    </row>
    <row r="24">
      <c r="A24" s="8" t="inlineStr">
        <is>
          <t>Editing per listing</t>
        </is>
      </c>
      <c r="B24" s="16" t="n">
        <v>65</v>
      </c>
      <c r="C24" s="11" t="inlineStr">
        <is>
          <t>Your editor's rate. The only media cash cost the brokerage absorbs.</t>
        </is>
      </c>
    </row>
    <row r="25">
      <c r="A25" s="8" t="inlineStr">
        <is>
          <t>Your hours per listing</t>
        </is>
      </c>
      <c r="B25" s="12" t="n">
        <v>2.5</v>
      </c>
      <c r="C25" s="11" t="inlineStr">
        <is>
          <t>Drive, shoot, fly, upload, review.</t>
        </is>
      </c>
    </row>
    <row r="26">
      <c r="A26" s="8" t="inlineStr">
        <is>
          <t>Value of your hour</t>
        </is>
      </c>
      <c r="B26" s="16" t="n">
        <v>75</v>
      </c>
      <c r="C26" s="11" t="inlineStr">
        <is>
          <t>What the hour is worth recruiting an agent or signing a door instead.</t>
        </is>
      </c>
    </row>
    <row r="27">
      <c r="A27" s="4" t="inlineStr">
        <is>
          <t>Media cost per listing</t>
        </is>
      </c>
      <c r="B27" s="17">
        <f>B24+IF(Costs!$B$3=1,B25*B26,0)</f>
        <v/>
      </c>
    </row>
    <row r="28">
      <c r="A28" s="8" t="inlineStr">
        <is>
          <t>Listings you can shoot per month</t>
        </is>
      </c>
      <c r="B28" s="12" t="n">
        <v>10</v>
      </c>
      <c r="C28" s="11" t="inlineStr">
        <is>
          <t>Above this you outsource at about $720, or stop taking listings.</t>
        </is>
      </c>
    </row>
    <row r="29">
      <c r="A29" s="8" t="inlineStr">
        <is>
          <t>Outsourced package, if over capacity</t>
        </is>
      </c>
      <c r="B29" s="16" t="n">
        <v>720</v>
      </c>
    </row>
    <row r="31">
      <c r="A31" s="18" t="inlineStr">
        <is>
          <t>Add-ons sold at cost plus markup</t>
        </is>
      </c>
      <c r="B31" s="19" t="n"/>
      <c r="C31" s="19" t="n"/>
    </row>
    <row r="32">
      <c r="A32" s="8" t="inlineStr">
        <is>
          <t>Flyers — cost</t>
        </is>
      </c>
      <c r="B32" s="16" t="n">
        <v>60</v>
      </c>
      <c r="C32" s="11" t="inlineStr"/>
    </row>
    <row r="33">
      <c r="A33" s="8" t="inlineStr">
        <is>
          <t>Sign and lockbox — cost</t>
        </is>
      </c>
      <c r="B33" s="16" t="n">
        <v>85</v>
      </c>
      <c r="C33" s="11" t="inlineStr"/>
    </row>
    <row r="34">
      <c r="A34" s="8" t="inlineStr">
        <is>
          <t>Markup</t>
        </is>
      </c>
      <c r="B34" s="14" t="n">
        <v>0.1</v>
      </c>
      <c r="C34" s="11" t="inlineStr">
        <is>
          <t>Ten percent of about $130. A convenience, not a profit centre.</t>
        </is>
      </c>
    </row>
    <row r="35">
      <c r="A35" s="8" t="inlineStr">
        <is>
          <t>Share of listings buying flyers</t>
        </is>
      </c>
      <c r="B35" s="14" t="n">
        <v>0.8</v>
      </c>
      <c r="C35" s="11" t="inlineStr"/>
    </row>
    <row r="36">
      <c r="A36" s="8" t="inlineStr">
        <is>
          <t>Share buying sign and lockbox</t>
        </is>
      </c>
      <c r="B36" s="14" t="n">
        <v>0.95</v>
      </c>
      <c r="C36" s="11" t="inlineStr"/>
    </row>
    <row r="37">
      <c r="A37" s="4" t="inlineStr">
        <is>
          <t>Add-on margin per listing</t>
        </is>
      </c>
      <c r="B37" s="21">
        <f>(B32*B35+B33*B36)*B34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>
      <c r="A1" s="1" t="inlineStr">
        <is>
          <t>Profit and Loss — 24 months</t>
        </is>
      </c>
    </row>
    <row r="2">
      <c r="A2" s="22" t="inlineStr">
        <is>
          <t>Brokerage only. Property management is on PM and EV.</t>
        </is>
      </c>
    </row>
    <row r="4">
      <c r="A4" s="4" t="inlineStr">
        <is>
          <t>Month</t>
        </is>
      </c>
      <c r="B4" s="23" t="n">
        <v>1</v>
      </c>
      <c r="C4" s="23" t="n">
        <v>2</v>
      </c>
      <c r="D4" s="23" t="n">
        <v>3</v>
      </c>
      <c r="E4" s="23" t="n">
        <v>4</v>
      </c>
      <c r="F4" s="23" t="n">
        <v>5</v>
      </c>
      <c r="G4" s="23" t="n">
        <v>6</v>
      </c>
      <c r="H4" s="23" t="n">
        <v>7</v>
      </c>
      <c r="I4" s="23" t="n">
        <v>8</v>
      </c>
      <c r="J4" s="23" t="n">
        <v>9</v>
      </c>
      <c r="K4" s="23" t="n">
        <v>10</v>
      </c>
      <c r="L4" s="23" t="n">
        <v>11</v>
      </c>
      <c r="M4" s="23" t="n">
        <v>12</v>
      </c>
      <c r="N4" s="23" t="n">
        <v>13</v>
      </c>
      <c r="O4" s="23" t="n">
        <v>14</v>
      </c>
      <c r="P4" s="23" t="n">
        <v>15</v>
      </c>
      <c r="Q4" s="23" t="n">
        <v>16</v>
      </c>
      <c r="R4" s="23" t="n">
        <v>17</v>
      </c>
      <c r="S4" s="23" t="n">
        <v>18</v>
      </c>
      <c r="T4" s="23" t="n">
        <v>19</v>
      </c>
      <c r="U4" s="23" t="n">
        <v>20</v>
      </c>
      <c r="V4" s="23" t="n">
        <v>21</v>
      </c>
      <c r="W4" s="23" t="n">
        <v>22</v>
      </c>
      <c r="X4" s="23" t="n">
        <v>23</v>
      </c>
      <c r="Y4" s="23" t="n">
        <v>24</v>
      </c>
      <c r="Z4" s="24" t="inlineStr">
        <is>
          <t>Total</t>
        </is>
      </c>
    </row>
    <row r="5">
      <c r="A5" s="18" t="inlineStr">
        <is>
          <t>Volume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8" t="inlineStr">
        <is>
          <t>Agents, start of month</t>
        </is>
      </c>
      <c r="B6" s="25">
        <f>Assumptions!$E$6</f>
        <v/>
      </c>
      <c r="C6" s="25">
        <f>B7</f>
        <v/>
      </c>
      <c r="D6" s="25">
        <f>C7</f>
        <v/>
      </c>
      <c r="E6" s="25">
        <f>D7</f>
        <v/>
      </c>
      <c r="F6" s="25">
        <f>E7</f>
        <v/>
      </c>
      <c r="G6" s="25">
        <f>F7</f>
        <v/>
      </c>
      <c r="H6" s="25">
        <f>G7</f>
        <v/>
      </c>
      <c r="I6" s="25">
        <f>H7</f>
        <v/>
      </c>
      <c r="J6" s="25">
        <f>I7</f>
        <v/>
      </c>
      <c r="K6" s="25">
        <f>J7</f>
        <v/>
      </c>
      <c r="L6" s="25">
        <f>K7</f>
        <v/>
      </c>
      <c r="M6" s="25">
        <f>L7</f>
        <v/>
      </c>
      <c r="N6" s="25">
        <f>M7</f>
        <v/>
      </c>
      <c r="O6" s="25">
        <f>N7</f>
        <v/>
      </c>
      <c r="P6" s="25">
        <f>O7</f>
        <v/>
      </c>
      <c r="Q6" s="25">
        <f>P7</f>
        <v/>
      </c>
      <c r="R6" s="25">
        <f>Q7</f>
        <v/>
      </c>
      <c r="S6" s="25">
        <f>R7</f>
        <v/>
      </c>
      <c r="T6" s="25">
        <f>S7</f>
        <v/>
      </c>
      <c r="U6" s="25">
        <f>T7</f>
        <v/>
      </c>
      <c r="V6" s="25">
        <f>U7</f>
        <v/>
      </c>
      <c r="W6" s="25">
        <f>V7</f>
        <v/>
      </c>
      <c r="X6" s="25">
        <f>W7</f>
        <v/>
      </c>
      <c r="Y6" s="25">
        <f>X7</f>
        <v/>
      </c>
    </row>
    <row r="7">
      <c r="A7" s="8" t="inlineStr">
        <is>
          <t>Agents, end of month</t>
        </is>
      </c>
      <c r="B7" s="25">
        <f>MAX(0,B6+IF(1&lt;=12,Assumptions!$E$7,Assumptions!$E$8)-B6*Assumptions!$E$9/12)</f>
        <v/>
      </c>
      <c r="C7" s="25">
        <f>MAX(0,C6+IF(2&lt;=12,Assumptions!$E$7,Assumptions!$E$8)-C6*Assumptions!$E$9/12)</f>
        <v/>
      </c>
      <c r="D7" s="25">
        <f>MAX(0,D6+IF(3&lt;=12,Assumptions!$E$7,Assumptions!$E$8)-D6*Assumptions!$E$9/12)</f>
        <v/>
      </c>
      <c r="E7" s="25">
        <f>MAX(0,E6+IF(4&lt;=12,Assumptions!$E$7,Assumptions!$E$8)-E6*Assumptions!$E$9/12)</f>
        <v/>
      </c>
      <c r="F7" s="25">
        <f>MAX(0,F6+IF(5&lt;=12,Assumptions!$E$7,Assumptions!$E$8)-F6*Assumptions!$E$9/12)</f>
        <v/>
      </c>
      <c r="G7" s="25">
        <f>MAX(0,G6+IF(6&lt;=12,Assumptions!$E$7,Assumptions!$E$8)-G6*Assumptions!$E$9/12)</f>
        <v/>
      </c>
      <c r="H7" s="25">
        <f>MAX(0,H6+IF(7&lt;=12,Assumptions!$E$7,Assumptions!$E$8)-H6*Assumptions!$E$9/12)</f>
        <v/>
      </c>
      <c r="I7" s="25">
        <f>MAX(0,I6+IF(8&lt;=12,Assumptions!$E$7,Assumptions!$E$8)-I6*Assumptions!$E$9/12)</f>
        <v/>
      </c>
      <c r="J7" s="25">
        <f>MAX(0,J6+IF(9&lt;=12,Assumptions!$E$7,Assumptions!$E$8)-J6*Assumptions!$E$9/12)</f>
        <v/>
      </c>
      <c r="K7" s="25">
        <f>MAX(0,K6+IF(10&lt;=12,Assumptions!$E$7,Assumptions!$E$8)-K6*Assumptions!$E$9/12)</f>
        <v/>
      </c>
      <c r="L7" s="25">
        <f>MAX(0,L6+IF(11&lt;=12,Assumptions!$E$7,Assumptions!$E$8)-L6*Assumptions!$E$9/12)</f>
        <v/>
      </c>
      <c r="M7" s="25">
        <f>MAX(0,M6+IF(12&lt;=12,Assumptions!$E$7,Assumptions!$E$8)-M6*Assumptions!$E$9/12)</f>
        <v/>
      </c>
      <c r="N7" s="25">
        <f>MAX(0,N6+IF(13&lt;=12,Assumptions!$E$7,Assumptions!$E$8)-N6*Assumptions!$E$9/12)</f>
        <v/>
      </c>
      <c r="O7" s="25">
        <f>MAX(0,O6+IF(14&lt;=12,Assumptions!$E$7,Assumptions!$E$8)-O6*Assumptions!$E$9/12)</f>
        <v/>
      </c>
      <c r="P7" s="25">
        <f>MAX(0,P6+IF(15&lt;=12,Assumptions!$E$7,Assumptions!$E$8)-P6*Assumptions!$E$9/12)</f>
        <v/>
      </c>
      <c r="Q7" s="25">
        <f>MAX(0,Q6+IF(16&lt;=12,Assumptions!$E$7,Assumptions!$E$8)-Q6*Assumptions!$E$9/12)</f>
        <v/>
      </c>
      <c r="R7" s="25">
        <f>MAX(0,R6+IF(17&lt;=12,Assumptions!$E$7,Assumptions!$E$8)-R6*Assumptions!$E$9/12)</f>
        <v/>
      </c>
      <c r="S7" s="25">
        <f>MAX(0,S6+IF(18&lt;=12,Assumptions!$E$7,Assumptions!$E$8)-S6*Assumptions!$E$9/12)</f>
        <v/>
      </c>
      <c r="T7" s="25">
        <f>MAX(0,T6+IF(19&lt;=12,Assumptions!$E$7,Assumptions!$E$8)-T6*Assumptions!$E$9/12)</f>
        <v/>
      </c>
      <c r="U7" s="25">
        <f>MAX(0,U6+IF(20&lt;=12,Assumptions!$E$7,Assumptions!$E$8)-U6*Assumptions!$E$9/12)</f>
        <v/>
      </c>
      <c r="V7" s="25">
        <f>MAX(0,V6+IF(21&lt;=12,Assumptions!$E$7,Assumptions!$E$8)-V6*Assumptions!$E$9/12)</f>
        <v/>
      </c>
      <c r="W7" s="25">
        <f>MAX(0,W6+IF(22&lt;=12,Assumptions!$E$7,Assumptions!$E$8)-W6*Assumptions!$E$9/12)</f>
        <v/>
      </c>
      <c r="X7" s="25">
        <f>MAX(0,X6+IF(23&lt;=12,Assumptions!$E$7,Assumptions!$E$8)-X6*Assumptions!$E$9/12)</f>
        <v/>
      </c>
      <c r="Y7" s="25">
        <f>MAX(0,Y6+IF(24&lt;=12,Assumptions!$E$7,Assumptions!$E$8)-Y6*Assumptions!$E$9/12)</f>
        <v/>
      </c>
      <c r="Z7" s="13">
        <f>Y7</f>
        <v/>
      </c>
    </row>
    <row r="8">
      <c r="A8" s="8" t="inlineStr">
        <is>
          <t>Closings</t>
        </is>
      </c>
      <c r="B8" s="25">
        <f>B7*Assumptions!$E$10</f>
        <v/>
      </c>
      <c r="C8" s="25">
        <f>C7*Assumptions!$E$10</f>
        <v/>
      </c>
      <c r="D8" s="25">
        <f>D7*Assumptions!$E$10</f>
        <v/>
      </c>
      <c r="E8" s="25">
        <f>E7*Assumptions!$E$10</f>
        <v/>
      </c>
      <c r="F8" s="25">
        <f>F7*Assumptions!$E$10</f>
        <v/>
      </c>
      <c r="G8" s="25">
        <f>G7*Assumptions!$E$10</f>
        <v/>
      </c>
      <c r="H8" s="25">
        <f>H7*Assumptions!$E$10</f>
        <v/>
      </c>
      <c r="I8" s="25">
        <f>I7*Assumptions!$E$10</f>
        <v/>
      </c>
      <c r="J8" s="25">
        <f>J7*Assumptions!$E$10</f>
        <v/>
      </c>
      <c r="K8" s="25">
        <f>K7*Assumptions!$E$10</f>
        <v/>
      </c>
      <c r="L8" s="25">
        <f>L7*Assumptions!$E$10</f>
        <v/>
      </c>
      <c r="M8" s="25">
        <f>M7*Assumptions!$E$10</f>
        <v/>
      </c>
      <c r="N8" s="25">
        <f>N7*Assumptions!$E$10</f>
        <v/>
      </c>
      <c r="O8" s="25">
        <f>O7*Assumptions!$E$10</f>
        <v/>
      </c>
      <c r="P8" s="25">
        <f>P7*Assumptions!$E$10</f>
        <v/>
      </c>
      <c r="Q8" s="25">
        <f>Q7*Assumptions!$E$10</f>
        <v/>
      </c>
      <c r="R8" s="25">
        <f>R7*Assumptions!$E$10</f>
        <v/>
      </c>
      <c r="S8" s="25">
        <f>S7*Assumptions!$E$10</f>
        <v/>
      </c>
      <c r="T8" s="25">
        <f>T7*Assumptions!$E$10</f>
        <v/>
      </c>
      <c r="U8" s="25">
        <f>U7*Assumptions!$E$10</f>
        <v/>
      </c>
      <c r="V8" s="25">
        <f>V7*Assumptions!$E$10</f>
        <v/>
      </c>
      <c r="W8" s="25">
        <f>W7*Assumptions!$E$10</f>
        <v/>
      </c>
      <c r="X8" s="25">
        <f>X7*Assumptions!$E$10</f>
        <v/>
      </c>
      <c r="Y8" s="25">
        <f>Y7*Assumptions!$E$10</f>
        <v/>
      </c>
      <c r="Z8" s="13">
        <f>SUM(B8:Y8)</f>
        <v/>
      </c>
    </row>
    <row r="9">
      <c r="A9" s="8" t="inlineStr">
        <is>
          <t>Listing-side closings</t>
        </is>
      </c>
      <c r="B9" s="25">
        <f>B8*Assumptions!$E$11</f>
        <v/>
      </c>
      <c r="C9" s="25">
        <f>C8*Assumptions!$E$11</f>
        <v/>
      </c>
      <c r="D9" s="25">
        <f>D8*Assumptions!$E$11</f>
        <v/>
      </c>
      <c r="E9" s="25">
        <f>E8*Assumptions!$E$11</f>
        <v/>
      </c>
      <c r="F9" s="25">
        <f>F8*Assumptions!$E$11</f>
        <v/>
      </c>
      <c r="G9" s="25">
        <f>G8*Assumptions!$E$11</f>
        <v/>
      </c>
      <c r="H9" s="25">
        <f>H8*Assumptions!$E$11</f>
        <v/>
      </c>
      <c r="I9" s="25">
        <f>I8*Assumptions!$E$11</f>
        <v/>
      </c>
      <c r="J9" s="25">
        <f>J8*Assumptions!$E$11</f>
        <v/>
      </c>
      <c r="K9" s="25">
        <f>K8*Assumptions!$E$11</f>
        <v/>
      </c>
      <c r="L9" s="25">
        <f>L8*Assumptions!$E$11</f>
        <v/>
      </c>
      <c r="M9" s="25">
        <f>M8*Assumptions!$E$11</f>
        <v/>
      </c>
      <c r="N9" s="25">
        <f>N8*Assumptions!$E$11</f>
        <v/>
      </c>
      <c r="O9" s="25">
        <f>O8*Assumptions!$E$11</f>
        <v/>
      </c>
      <c r="P9" s="25">
        <f>P8*Assumptions!$E$11</f>
        <v/>
      </c>
      <c r="Q9" s="25">
        <f>Q8*Assumptions!$E$11</f>
        <v/>
      </c>
      <c r="R9" s="25">
        <f>R8*Assumptions!$E$11</f>
        <v/>
      </c>
      <c r="S9" s="25">
        <f>S8*Assumptions!$E$11</f>
        <v/>
      </c>
      <c r="T9" s="25">
        <f>T8*Assumptions!$E$11</f>
        <v/>
      </c>
      <c r="U9" s="25">
        <f>U8*Assumptions!$E$11</f>
        <v/>
      </c>
      <c r="V9" s="25">
        <f>V8*Assumptions!$E$11</f>
        <v/>
      </c>
      <c r="W9" s="25">
        <f>W8*Assumptions!$E$11</f>
        <v/>
      </c>
      <c r="X9" s="25">
        <f>X8*Assumptions!$E$11</f>
        <v/>
      </c>
      <c r="Y9" s="25">
        <f>Y8*Assumptions!$E$11</f>
        <v/>
      </c>
      <c r="Z9" s="13">
        <f>SUM(B9:Y9)</f>
        <v/>
      </c>
    </row>
    <row r="10">
      <c r="A10" s="8" t="inlineStr">
        <is>
          <t>Listings you shoot</t>
        </is>
      </c>
      <c r="B10" s="25">
        <f>MIN(B9*Assumptions!$E$12,Costs!$B$28)</f>
        <v/>
      </c>
      <c r="C10" s="25">
        <f>MIN(C9*Assumptions!$E$12,Costs!$B$28)</f>
        <v/>
      </c>
      <c r="D10" s="25">
        <f>MIN(D9*Assumptions!$E$12,Costs!$B$28)</f>
        <v/>
      </c>
      <c r="E10" s="25">
        <f>MIN(E9*Assumptions!$E$12,Costs!$B$28)</f>
        <v/>
      </c>
      <c r="F10" s="25">
        <f>MIN(F9*Assumptions!$E$12,Costs!$B$28)</f>
        <v/>
      </c>
      <c r="G10" s="25">
        <f>MIN(G9*Assumptions!$E$12,Costs!$B$28)</f>
        <v/>
      </c>
      <c r="H10" s="25">
        <f>MIN(H9*Assumptions!$E$12,Costs!$B$28)</f>
        <v/>
      </c>
      <c r="I10" s="25">
        <f>MIN(I9*Assumptions!$E$12,Costs!$B$28)</f>
        <v/>
      </c>
      <c r="J10" s="25">
        <f>MIN(J9*Assumptions!$E$12,Costs!$B$28)</f>
        <v/>
      </c>
      <c r="K10" s="25">
        <f>MIN(K9*Assumptions!$E$12,Costs!$B$28)</f>
        <v/>
      </c>
      <c r="L10" s="25">
        <f>MIN(L9*Assumptions!$E$12,Costs!$B$28)</f>
        <v/>
      </c>
      <c r="M10" s="25">
        <f>MIN(M9*Assumptions!$E$12,Costs!$B$28)</f>
        <v/>
      </c>
      <c r="N10" s="25">
        <f>MIN(N9*Assumptions!$E$12,Costs!$B$28)</f>
        <v/>
      </c>
      <c r="O10" s="25">
        <f>MIN(O9*Assumptions!$E$12,Costs!$B$28)</f>
        <v/>
      </c>
      <c r="P10" s="25">
        <f>MIN(P9*Assumptions!$E$12,Costs!$B$28)</f>
        <v/>
      </c>
      <c r="Q10" s="25">
        <f>MIN(Q9*Assumptions!$E$12,Costs!$B$28)</f>
        <v/>
      </c>
      <c r="R10" s="25">
        <f>MIN(R9*Assumptions!$E$12,Costs!$B$28)</f>
        <v/>
      </c>
      <c r="S10" s="25">
        <f>MIN(S9*Assumptions!$E$12,Costs!$B$28)</f>
        <v/>
      </c>
      <c r="T10" s="25">
        <f>MIN(T9*Assumptions!$E$12,Costs!$B$28)</f>
        <v/>
      </c>
      <c r="U10" s="25">
        <f>MIN(U9*Assumptions!$E$12,Costs!$B$28)</f>
        <v/>
      </c>
      <c r="V10" s="25">
        <f>MIN(V9*Assumptions!$E$12,Costs!$B$28)</f>
        <v/>
      </c>
      <c r="W10" s="25">
        <f>MIN(W9*Assumptions!$E$12,Costs!$B$28)</f>
        <v/>
      </c>
      <c r="X10" s="25">
        <f>MIN(X9*Assumptions!$E$12,Costs!$B$28)</f>
        <v/>
      </c>
      <c r="Y10" s="25">
        <f>MIN(Y9*Assumptions!$E$12,Costs!$B$28)</f>
        <v/>
      </c>
      <c r="Z10" s="13">
        <f>SUM(B10:Y10)</f>
        <v/>
      </c>
    </row>
    <row r="11">
      <c r="A11" s="8" t="inlineStr">
        <is>
          <t>Listings outsourced over capacity</t>
        </is>
      </c>
      <c r="B11" s="25">
        <f>MAX(0,B9*Assumptions!$E$12-Costs!$B$28)</f>
        <v/>
      </c>
      <c r="C11" s="25">
        <f>MAX(0,C9*Assumptions!$E$12-Costs!$B$28)</f>
        <v/>
      </c>
      <c r="D11" s="25">
        <f>MAX(0,D9*Assumptions!$E$12-Costs!$B$28)</f>
        <v/>
      </c>
      <c r="E11" s="25">
        <f>MAX(0,E9*Assumptions!$E$12-Costs!$B$28)</f>
        <v/>
      </c>
      <c r="F11" s="25">
        <f>MAX(0,F9*Assumptions!$E$12-Costs!$B$28)</f>
        <v/>
      </c>
      <c r="G11" s="25">
        <f>MAX(0,G9*Assumptions!$E$12-Costs!$B$28)</f>
        <v/>
      </c>
      <c r="H11" s="25">
        <f>MAX(0,H9*Assumptions!$E$12-Costs!$B$28)</f>
        <v/>
      </c>
      <c r="I11" s="25">
        <f>MAX(0,I9*Assumptions!$E$12-Costs!$B$28)</f>
        <v/>
      </c>
      <c r="J11" s="25">
        <f>MAX(0,J9*Assumptions!$E$12-Costs!$B$28)</f>
        <v/>
      </c>
      <c r="K11" s="25">
        <f>MAX(0,K9*Assumptions!$E$12-Costs!$B$28)</f>
        <v/>
      </c>
      <c r="L11" s="25">
        <f>MAX(0,L9*Assumptions!$E$12-Costs!$B$28)</f>
        <v/>
      </c>
      <c r="M11" s="25">
        <f>MAX(0,M9*Assumptions!$E$12-Costs!$B$28)</f>
        <v/>
      </c>
      <c r="N11" s="25">
        <f>MAX(0,N9*Assumptions!$E$12-Costs!$B$28)</f>
        <v/>
      </c>
      <c r="O11" s="25">
        <f>MAX(0,O9*Assumptions!$E$12-Costs!$B$28)</f>
        <v/>
      </c>
      <c r="P11" s="25">
        <f>MAX(0,P9*Assumptions!$E$12-Costs!$B$28)</f>
        <v/>
      </c>
      <c r="Q11" s="25">
        <f>MAX(0,Q9*Assumptions!$E$12-Costs!$B$28)</f>
        <v/>
      </c>
      <c r="R11" s="25">
        <f>MAX(0,R9*Assumptions!$E$12-Costs!$B$28)</f>
        <v/>
      </c>
      <c r="S11" s="25">
        <f>MAX(0,S9*Assumptions!$E$12-Costs!$B$28)</f>
        <v/>
      </c>
      <c r="T11" s="25">
        <f>MAX(0,T9*Assumptions!$E$12-Costs!$B$28)</f>
        <v/>
      </c>
      <c r="U11" s="25">
        <f>MAX(0,U9*Assumptions!$E$12-Costs!$B$28)</f>
        <v/>
      </c>
      <c r="V11" s="25">
        <f>MAX(0,V9*Assumptions!$E$12-Costs!$B$28)</f>
        <v/>
      </c>
      <c r="W11" s="25">
        <f>MAX(0,W9*Assumptions!$E$12-Costs!$B$28)</f>
        <v/>
      </c>
      <c r="X11" s="25">
        <f>MAX(0,X9*Assumptions!$E$12-Costs!$B$28)</f>
        <v/>
      </c>
      <c r="Y11" s="25">
        <f>MAX(0,Y9*Assumptions!$E$12-Costs!$B$28)</f>
        <v/>
      </c>
      <c r="Z11" s="13">
        <f>SUM(B11:Y11)</f>
        <v/>
      </c>
    </row>
    <row r="13">
      <c r="A13" s="18" t="inlineStr">
        <is>
          <t>Revenue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8" t="inlineStr">
        <is>
          <t>Membership fees</t>
        </is>
      </c>
      <c r="B14" s="26">
        <f>B7*Assumptions!$B$18</f>
        <v/>
      </c>
      <c r="C14" s="26">
        <f>C7*Assumptions!$B$18</f>
        <v/>
      </c>
      <c r="D14" s="26">
        <f>D7*Assumptions!$B$18</f>
        <v/>
      </c>
      <c r="E14" s="26">
        <f>E7*Assumptions!$B$18</f>
        <v/>
      </c>
      <c r="F14" s="26">
        <f>F7*Assumptions!$B$18</f>
        <v/>
      </c>
      <c r="G14" s="26">
        <f>G7*Assumptions!$B$18</f>
        <v/>
      </c>
      <c r="H14" s="26">
        <f>H7*Assumptions!$B$18</f>
        <v/>
      </c>
      <c r="I14" s="26">
        <f>I7*Assumptions!$B$18</f>
        <v/>
      </c>
      <c r="J14" s="26">
        <f>J7*Assumptions!$B$18</f>
        <v/>
      </c>
      <c r="K14" s="26">
        <f>K7*Assumptions!$B$18</f>
        <v/>
      </c>
      <c r="L14" s="26">
        <f>L7*Assumptions!$B$18</f>
        <v/>
      </c>
      <c r="M14" s="26">
        <f>M7*Assumptions!$B$18</f>
        <v/>
      </c>
      <c r="N14" s="26">
        <f>N7*Assumptions!$B$18</f>
        <v/>
      </c>
      <c r="O14" s="26">
        <f>O7*Assumptions!$B$18</f>
        <v/>
      </c>
      <c r="P14" s="26">
        <f>P7*Assumptions!$B$18</f>
        <v/>
      </c>
      <c r="Q14" s="26">
        <f>Q7*Assumptions!$B$18</f>
        <v/>
      </c>
      <c r="R14" s="26">
        <f>R7*Assumptions!$B$18</f>
        <v/>
      </c>
      <c r="S14" s="26">
        <f>S7*Assumptions!$B$18</f>
        <v/>
      </c>
      <c r="T14" s="26">
        <f>T7*Assumptions!$B$18</f>
        <v/>
      </c>
      <c r="U14" s="26">
        <f>U7*Assumptions!$B$18</f>
        <v/>
      </c>
      <c r="V14" s="26">
        <f>V7*Assumptions!$B$18</f>
        <v/>
      </c>
      <c r="W14" s="26">
        <f>W7*Assumptions!$B$18</f>
        <v/>
      </c>
      <c r="X14" s="26">
        <f>X7*Assumptions!$B$18</f>
        <v/>
      </c>
      <c r="Y14" s="26">
        <f>Y7*Assumptions!$B$18</f>
        <v/>
      </c>
      <c r="Z14" s="17">
        <f>SUM(B14:Y14)</f>
        <v/>
      </c>
    </row>
    <row r="15">
      <c r="A15" s="8" t="inlineStr">
        <is>
          <t>Transaction fees</t>
        </is>
      </c>
      <c r="B15" s="26">
        <f>B8*Assumptions!$B$19</f>
        <v/>
      </c>
      <c r="C15" s="26">
        <f>C8*Assumptions!$B$19</f>
        <v/>
      </c>
      <c r="D15" s="26">
        <f>D8*Assumptions!$B$19</f>
        <v/>
      </c>
      <c r="E15" s="26">
        <f>E8*Assumptions!$B$19</f>
        <v/>
      </c>
      <c r="F15" s="26">
        <f>F8*Assumptions!$B$19</f>
        <v/>
      </c>
      <c r="G15" s="26">
        <f>G8*Assumptions!$B$19</f>
        <v/>
      </c>
      <c r="H15" s="26">
        <f>H8*Assumptions!$B$19</f>
        <v/>
      </c>
      <c r="I15" s="26">
        <f>I8*Assumptions!$B$19</f>
        <v/>
      </c>
      <c r="J15" s="26">
        <f>J8*Assumptions!$B$19</f>
        <v/>
      </c>
      <c r="K15" s="26">
        <f>K8*Assumptions!$B$19</f>
        <v/>
      </c>
      <c r="L15" s="26">
        <f>L8*Assumptions!$B$19</f>
        <v/>
      </c>
      <c r="M15" s="26">
        <f>M8*Assumptions!$B$19</f>
        <v/>
      </c>
      <c r="N15" s="26">
        <f>N8*Assumptions!$B$19</f>
        <v/>
      </c>
      <c r="O15" s="26">
        <f>O8*Assumptions!$B$19</f>
        <v/>
      </c>
      <c r="P15" s="26">
        <f>P8*Assumptions!$B$19</f>
        <v/>
      </c>
      <c r="Q15" s="26">
        <f>Q8*Assumptions!$B$19</f>
        <v/>
      </c>
      <c r="R15" s="26">
        <f>R8*Assumptions!$B$19</f>
        <v/>
      </c>
      <c r="S15" s="26">
        <f>S8*Assumptions!$B$19</f>
        <v/>
      </c>
      <c r="T15" s="26">
        <f>T8*Assumptions!$B$19</f>
        <v/>
      </c>
      <c r="U15" s="26">
        <f>U8*Assumptions!$B$19</f>
        <v/>
      </c>
      <c r="V15" s="26">
        <f>V8*Assumptions!$B$19</f>
        <v/>
      </c>
      <c r="W15" s="26">
        <f>W8*Assumptions!$B$19</f>
        <v/>
      </c>
      <c r="X15" s="26">
        <f>X8*Assumptions!$B$19</f>
        <v/>
      </c>
      <c r="Y15" s="26">
        <f>Y8*Assumptions!$B$19</f>
        <v/>
      </c>
      <c r="Z15" s="17">
        <f>SUM(B15:Y15)</f>
        <v/>
      </c>
    </row>
    <row r="16">
      <c r="A16" s="8" t="inlineStr">
        <is>
          <t>Media fees</t>
        </is>
      </c>
      <c r="B16" s="26">
        <f>(B10+B11)*Assumptions!$B$20</f>
        <v/>
      </c>
      <c r="C16" s="26">
        <f>(C10+C11)*Assumptions!$B$20</f>
        <v/>
      </c>
      <c r="D16" s="26">
        <f>(D10+D11)*Assumptions!$B$20</f>
        <v/>
      </c>
      <c r="E16" s="26">
        <f>(E10+E11)*Assumptions!$B$20</f>
        <v/>
      </c>
      <c r="F16" s="26">
        <f>(F10+F11)*Assumptions!$B$20</f>
        <v/>
      </c>
      <c r="G16" s="26">
        <f>(G10+G11)*Assumptions!$B$20</f>
        <v/>
      </c>
      <c r="H16" s="26">
        <f>(H10+H11)*Assumptions!$B$20</f>
        <v/>
      </c>
      <c r="I16" s="26">
        <f>(I10+I11)*Assumptions!$B$20</f>
        <v/>
      </c>
      <c r="J16" s="26">
        <f>(J10+J11)*Assumptions!$B$20</f>
        <v/>
      </c>
      <c r="K16" s="26">
        <f>(K10+K11)*Assumptions!$B$20</f>
        <v/>
      </c>
      <c r="L16" s="26">
        <f>(L10+L11)*Assumptions!$B$20</f>
        <v/>
      </c>
      <c r="M16" s="26">
        <f>(M10+M11)*Assumptions!$B$20</f>
        <v/>
      </c>
      <c r="N16" s="26">
        <f>(N10+N11)*Assumptions!$B$20</f>
        <v/>
      </c>
      <c r="O16" s="26">
        <f>(O10+O11)*Assumptions!$B$20</f>
        <v/>
      </c>
      <c r="P16" s="26">
        <f>(P10+P11)*Assumptions!$B$20</f>
        <v/>
      </c>
      <c r="Q16" s="26">
        <f>(Q10+Q11)*Assumptions!$B$20</f>
        <v/>
      </c>
      <c r="R16" s="26">
        <f>(R10+R11)*Assumptions!$B$20</f>
        <v/>
      </c>
      <c r="S16" s="26">
        <f>(S10+S11)*Assumptions!$B$20</f>
        <v/>
      </c>
      <c r="T16" s="26">
        <f>(T10+T11)*Assumptions!$B$20</f>
        <v/>
      </c>
      <c r="U16" s="26">
        <f>(U10+U11)*Assumptions!$B$20</f>
        <v/>
      </c>
      <c r="V16" s="26">
        <f>(V10+V11)*Assumptions!$B$20</f>
        <v/>
      </c>
      <c r="W16" s="26">
        <f>(W10+W11)*Assumptions!$B$20</f>
        <v/>
      </c>
      <c r="X16" s="26">
        <f>(X10+X11)*Assumptions!$B$20</f>
        <v/>
      </c>
      <c r="Y16" s="26">
        <f>(Y10+Y11)*Assumptions!$B$20</f>
        <v/>
      </c>
      <c r="Z16" s="17">
        <f>SUM(B16:Y16)</f>
        <v/>
      </c>
    </row>
    <row r="17">
      <c r="A17" s="8" t="inlineStr">
        <is>
          <t>Add-on margin</t>
        </is>
      </c>
      <c r="B17" s="26">
        <f>B9*Costs!$B$37</f>
        <v/>
      </c>
      <c r="C17" s="26">
        <f>C9*Costs!$B$37</f>
        <v/>
      </c>
      <c r="D17" s="26">
        <f>D9*Costs!$B$37</f>
        <v/>
      </c>
      <c r="E17" s="26">
        <f>E9*Costs!$B$37</f>
        <v/>
      </c>
      <c r="F17" s="26">
        <f>F9*Costs!$B$37</f>
        <v/>
      </c>
      <c r="G17" s="26">
        <f>G9*Costs!$B$37</f>
        <v/>
      </c>
      <c r="H17" s="26">
        <f>H9*Costs!$B$37</f>
        <v/>
      </c>
      <c r="I17" s="26">
        <f>I9*Costs!$B$37</f>
        <v/>
      </c>
      <c r="J17" s="26">
        <f>J9*Costs!$B$37</f>
        <v/>
      </c>
      <c r="K17" s="26">
        <f>K9*Costs!$B$37</f>
        <v/>
      </c>
      <c r="L17" s="26">
        <f>L9*Costs!$B$37</f>
        <v/>
      </c>
      <c r="M17" s="26">
        <f>M9*Costs!$B$37</f>
        <v/>
      </c>
      <c r="N17" s="26">
        <f>N9*Costs!$B$37</f>
        <v/>
      </c>
      <c r="O17" s="26">
        <f>O9*Costs!$B$37</f>
        <v/>
      </c>
      <c r="P17" s="26">
        <f>P9*Costs!$B$37</f>
        <v/>
      </c>
      <c r="Q17" s="26">
        <f>Q9*Costs!$B$37</f>
        <v/>
      </c>
      <c r="R17" s="26">
        <f>R9*Costs!$B$37</f>
        <v/>
      </c>
      <c r="S17" s="26">
        <f>S9*Costs!$B$37</f>
        <v/>
      </c>
      <c r="T17" s="26">
        <f>T9*Costs!$B$37</f>
        <v/>
      </c>
      <c r="U17" s="26">
        <f>U9*Costs!$B$37</f>
        <v/>
      </c>
      <c r="V17" s="26">
        <f>V9*Costs!$B$37</f>
        <v/>
      </c>
      <c r="W17" s="26">
        <f>W9*Costs!$B$37</f>
        <v/>
      </c>
      <c r="X17" s="26">
        <f>X9*Costs!$B$37</f>
        <v/>
      </c>
      <c r="Y17" s="26">
        <f>Y9*Costs!$B$37</f>
        <v/>
      </c>
      <c r="Z17" s="17">
        <f>SUM(B17:Y17)</f>
        <v/>
      </c>
    </row>
    <row r="18">
      <c r="A18" s="4" t="inlineStr">
        <is>
          <t>Total revenue</t>
        </is>
      </c>
      <c r="B18" s="17">
        <f>SUM(B14:B17)</f>
        <v/>
      </c>
      <c r="C18" s="17">
        <f>SUM(C14:C17)</f>
        <v/>
      </c>
      <c r="D18" s="17">
        <f>SUM(D14:D17)</f>
        <v/>
      </c>
      <c r="E18" s="17">
        <f>SUM(E14:E17)</f>
        <v/>
      </c>
      <c r="F18" s="17">
        <f>SUM(F14:F17)</f>
        <v/>
      </c>
      <c r="G18" s="17">
        <f>SUM(G14:G17)</f>
        <v/>
      </c>
      <c r="H18" s="17">
        <f>SUM(H14:H17)</f>
        <v/>
      </c>
      <c r="I18" s="17">
        <f>SUM(I14:I17)</f>
        <v/>
      </c>
      <c r="J18" s="17">
        <f>SUM(J14:J17)</f>
        <v/>
      </c>
      <c r="K18" s="17">
        <f>SUM(K14:K17)</f>
        <v/>
      </c>
      <c r="L18" s="17">
        <f>SUM(L14:L17)</f>
        <v/>
      </c>
      <c r="M18" s="17">
        <f>SUM(M14:M17)</f>
        <v/>
      </c>
      <c r="N18" s="17">
        <f>SUM(N14:N17)</f>
        <v/>
      </c>
      <c r="O18" s="17">
        <f>SUM(O14:O17)</f>
        <v/>
      </c>
      <c r="P18" s="17">
        <f>SUM(P14:P17)</f>
        <v/>
      </c>
      <c r="Q18" s="17">
        <f>SUM(Q14:Q17)</f>
        <v/>
      </c>
      <c r="R18" s="17">
        <f>SUM(R14:R17)</f>
        <v/>
      </c>
      <c r="S18" s="17">
        <f>SUM(S14:S17)</f>
        <v/>
      </c>
      <c r="T18" s="17">
        <f>SUM(T14:T17)</f>
        <v/>
      </c>
      <c r="U18" s="17">
        <f>SUM(U14:U17)</f>
        <v/>
      </c>
      <c r="V18" s="17">
        <f>SUM(V14:V17)</f>
        <v/>
      </c>
      <c r="W18" s="17">
        <f>SUM(W14:W17)</f>
        <v/>
      </c>
      <c r="X18" s="17">
        <f>SUM(X14:X17)</f>
        <v/>
      </c>
      <c r="Y18" s="17">
        <f>SUM(Y14:Y17)</f>
        <v/>
      </c>
      <c r="Z18" s="17">
        <f>SUM(B18:Y18)</f>
        <v/>
      </c>
    </row>
    <row r="20">
      <c r="A20" s="18" t="inlineStr">
        <is>
          <t>Costs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>
      <c r="A21" s="8" t="inlineStr">
        <is>
          <t>Media</t>
        </is>
      </c>
      <c r="B21" s="26">
        <f>B10*Costs!$B$27+B11*Costs!$B$29</f>
        <v/>
      </c>
      <c r="C21" s="26">
        <f>C10*Costs!$B$27+C11*Costs!$B$29</f>
        <v/>
      </c>
      <c r="D21" s="26">
        <f>D10*Costs!$B$27+D11*Costs!$B$29</f>
        <v/>
      </c>
      <c r="E21" s="26">
        <f>E10*Costs!$B$27+E11*Costs!$B$29</f>
        <v/>
      </c>
      <c r="F21" s="26">
        <f>F10*Costs!$B$27+F11*Costs!$B$29</f>
        <v/>
      </c>
      <c r="G21" s="26">
        <f>G10*Costs!$B$27+G11*Costs!$B$29</f>
        <v/>
      </c>
      <c r="H21" s="26">
        <f>H10*Costs!$B$27+H11*Costs!$B$29</f>
        <v/>
      </c>
      <c r="I21" s="26">
        <f>I10*Costs!$B$27+I11*Costs!$B$29</f>
        <v/>
      </c>
      <c r="J21" s="26">
        <f>J10*Costs!$B$27+J11*Costs!$B$29</f>
        <v/>
      </c>
      <c r="K21" s="26">
        <f>K10*Costs!$B$27+K11*Costs!$B$29</f>
        <v/>
      </c>
      <c r="L21" s="26">
        <f>L10*Costs!$B$27+L11*Costs!$B$29</f>
        <v/>
      </c>
      <c r="M21" s="26">
        <f>M10*Costs!$B$27+M11*Costs!$B$29</f>
        <v/>
      </c>
      <c r="N21" s="26">
        <f>N10*Costs!$B$27+N11*Costs!$B$29</f>
        <v/>
      </c>
      <c r="O21" s="26">
        <f>O10*Costs!$B$27+O11*Costs!$B$29</f>
        <v/>
      </c>
      <c r="P21" s="26">
        <f>P10*Costs!$B$27+P11*Costs!$B$29</f>
        <v/>
      </c>
      <c r="Q21" s="26">
        <f>Q10*Costs!$B$27+Q11*Costs!$B$29</f>
        <v/>
      </c>
      <c r="R21" s="26">
        <f>R10*Costs!$B$27+R11*Costs!$B$29</f>
        <v/>
      </c>
      <c r="S21" s="26">
        <f>S10*Costs!$B$27+S11*Costs!$B$29</f>
        <v/>
      </c>
      <c r="T21" s="26">
        <f>T10*Costs!$B$27+T11*Costs!$B$29</f>
        <v/>
      </c>
      <c r="U21" s="26">
        <f>U10*Costs!$B$27+U11*Costs!$B$29</f>
        <v/>
      </c>
      <c r="V21" s="26">
        <f>V10*Costs!$B$27+V11*Costs!$B$29</f>
        <v/>
      </c>
      <c r="W21" s="26">
        <f>W10*Costs!$B$27+W11*Costs!$B$29</f>
        <v/>
      </c>
      <c r="X21" s="26">
        <f>X10*Costs!$B$27+X11*Costs!$B$29</f>
        <v/>
      </c>
      <c r="Y21" s="26">
        <f>Y10*Costs!$B$27+Y11*Costs!$B$29</f>
        <v/>
      </c>
      <c r="Z21" s="17">
        <f>SUM(B21:Y21)</f>
        <v/>
      </c>
    </row>
    <row r="22">
      <c r="A22" s="8" t="inlineStr">
        <is>
          <t>Per transaction</t>
        </is>
      </c>
      <c r="B22" s="26">
        <f>B8*(Costs!$B$20+IF(Costs!$B$3=1,Costs!$B$21,0))</f>
        <v/>
      </c>
      <c r="C22" s="26">
        <f>C8*(Costs!$B$20+IF(Costs!$B$3=1,Costs!$B$21,0))</f>
        <v/>
      </c>
      <c r="D22" s="26">
        <f>D8*(Costs!$B$20+IF(Costs!$B$3=1,Costs!$B$21,0))</f>
        <v/>
      </c>
      <c r="E22" s="26">
        <f>E8*(Costs!$B$20+IF(Costs!$B$3=1,Costs!$B$21,0))</f>
        <v/>
      </c>
      <c r="F22" s="26">
        <f>F8*(Costs!$B$20+IF(Costs!$B$3=1,Costs!$B$21,0))</f>
        <v/>
      </c>
      <c r="G22" s="26">
        <f>G8*(Costs!$B$20+IF(Costs!$B$3=1,Costs!$B$21,0))</f>
        <v/>
      </c>
      <c r="H22" s="26">
        <f>H8*(Costs!$B$20+IF(Costs!$B$3=1,Costs!$B$21,0))</f>
        <v/>
      </c>
      <c r="I22" s="26">
        <f>I8*(Costs!$B$20+IF(Costs!$B$3=1,Costs!$B$21,0))</f>
        <v/>
      </c>
      <c r="J22" s="26">
        <f>J8*(Costs!$B$20+IF(Costs!$B$3=1,Costs!$B$21,0))</f>
        <v/>
      </c>
      <c r="K22" s="26">
        <f>K8*(Costs!$B$20+IF(Costs!$B$3=1,Costs!$B$21,0))</f>
        <v/>
      </c>
      <c r="L22" s="26">
        <f>L8*(Costs!$B$20+IF(Costs!$B$3=1,Costs!$B$21,0))</f>
        <v/>
      </c>
      <c r="M22" s="26">
        <f>M8*(Costs!$B$20+IF(Costs!$B$3=1,Costs!$B$21,0))</f>
        <v/>
      </c>
      <c r="N22" s="26">
        <f>N8*(Costs!$B$20+IF(Costs!$B$3=1,Costs!$B$21,0))</f>
        <v/>
      </c>
      <c r="O22" s="26">
        <f>O8*(Costs!$B$20+IF(Costs!$B$3=1,Costs!$B$21,0))</f>
        <v/>
      </c>
      <c r="P22" s="26">
        <f>P8*(Costs!$B$20+IF(Costs!$B$3=1,Costs!$B$21,0))</f>
        <v/>
      </c>
      <c r="Q22" s="26">
        <f>Q8*(Costs!$B$20+IF(Costs!$B$3=1,Costs!$B$21,0))</f>
        <v/>
      </c>
      <c r="R22" s="26">
        <f>R8*(Costs!$B$20+IF(Costs!$B$3=1,Costs!$B$21,0))</f>
        <v/>
      </c>
      <c r="S22" s="26">
        <f>S8*(Costs!$B$20+IF(Costs!$B$3=1,Costs!$B$21,0))</f>
        <v/>
      </c>
      <c r="T22" s="26">
        <f>T8*(Costs!$B$20+IF(Costs!$B$3=1,Costs!$B$21,0))</f>
        <v/>
      </c>
      <c r="U22" s="26">
        <f>U8*(Costs!$B$20+IF(Costs!$B$3=1,Costs!$B$21,0))</f>
        <v/>
      </c>
      <c r="V22" s="26">
        <f>V8*(Costs!$B$20+IF(Costs!$B$3=1,Costs!$B$21,0))</f>
        <v/>
      </c>
      <c r="W22" s="26">
        <f>W8*(Costs!$B$20+IF(Costs!$B$3=1,Costs!$B$21,0))</f>
        <v/>
      </c>
      <c r="X22" s="26">
        <f>X8*(Costs!$B$20+IF(Costs!$B$3=1,Costs!$B$21,0))</f>
        <v/>
      </c>
      <c r="Y22" s="26">
        <f>Y8*(Costs!$B$20+IF(Costs!$B$3=1,Costs!$B$21,0))</f>
        <v/>
      </c>
      <c r="Z22" s="17">
        <f>SUM(B22:Y22)</f>
        <v/>
      </c>
    </row>
    <row r="23">
      <c r="A23" s="8" t="inlineStr">
        <is>
          <t>Per agent</t>
        </is>
      </c>
      <c r="B23" s="26">
        <f>B7*Costs!$B$19</f>
        <v/>
      </c>
      <c r="C23" s="26">
        <f>C7*Costs!$B$19</f>
        <v/>
      </c>
      <c r="D23" s="26">
        <f>D7*Costs!$B$19</f>
        <v/>
      </c>
      <c r="E23" s="26">
        <f>E7*Costs!$B$19</f>
        <v/>
      </c>
      <c r="F23" s="26">
        <f>F7*Costs!$B$19</f>
        <v/>
      </c>
      <c r="G23" s="26">
        <f>G7*Costs!$B$19</f>
        <v/>
      </c>
      <c r="H23" s="26">
        <f>H7*Costs!$B$19</f>
        <v/>
      </c>
      <c r="I23" s="26">
        <f>I7*Costs!$B$19</f>
        <v/>
      </c>
      <c r="J23" s="26">
        <f>J7*Costs!$B$19</f>
        <v/>
      </c>
      <c r="K23" s="26">
        <f>K7*Costs!$B$19</f>
        <v/>
      </c>
      <c r="L23" s="26">
        <f>L7*Costs!$B$19</f>
        <v/>
      </c>
      <c r="M23" s="26">
        <f>M7*Costs!$B$19</f>
        <v/>
      </c>
      <c r="N23" s="26">
        <f>N7*Costs!$B$19</f>
        <v/>
      </c>
      <c r="O23" s="26">
        <f>O7*Costs!$B$19</f>
        <v/>
      </c>
      <c r="P23" s="26">
        <f>P7*Costs!$B$19</f>
        <v/>
      </c>
      <c r="Q23" s="26">
        <f>Q7*Costs!$B$19</f>
        <v/>
      </c>
      <c r="R23" s="26">
        <f>R7*Costs!$B$19</f>
        <v/>
      </c>
      <c r="S23" s="26">
        <f>S7*Costs!$B$19</f>
        <v/>
      </c>
      <c r="T23" s="26">
        <f>T7*Costs!$B$19</f>
        <v/>
      </c>
      <c r="U23" s="26">
        <f>U7*Costs!$B$19</f>
        <v/>
      </c>
      <c r="V23" s="26">
        <f>V7*Costs!$B$19</f>
        <v/>
      </c>
      <c r="W23" s="26">
        <f>W7*Costs!$B$19</f>
        <v/>
      </c>
      <c r="X23" s="26">
        <f>X7*Costs!$B$19</f>
        <v/>
      </c>
      <c r="Y23" s="26">
        <f>Y7*Costs!$B$19</f>
        <v/>
      </c>
      <c r="Z23" s="17">
        <f>SUM(B23:Y23)</f>
        <v/>
      </c>
    </row>
    <row r="24">
      <c r="A24" s="8" t="inlineStr">
        <is>
          <t>Fixed overhead</t>
        </is>
      </c>
      <c r="B24" s="26">
        <f>Costs!$B$16</f>
        <v/>
      </c>
      <c r="C24" s="26">
        <f>Costs!$B$16</f>
        <v/>
      </c>
      <c r="D24" s="26">
        <f>Costs!$B$16</f>
        <v/>
      </c>
      <c r="E24" s="26">
        <f>Costs!$B$16</f>
        <v/>
      </c>
      <c r="F24" s="26">
        <f>Costs!$B$16</f>
        <v/>
      </c>
      <c r="G24" s="26">
        <f>Costs!$B$16</f>
        <v/>
      </c>
      <c r="H24" s="26">
        <f>Costs!$B$16</f>
        <v/>
      </c>
      <c r="I24" s="26">
        <f>Costs!$B$16</f>
        <v/>
      </c>
      <c r="J24" s="26">
        <f>Costs!$B$16</f>
        <v/>
      </c>
      <c r="K24" s="26">
        <f>Costs!$B$16</f>
        <v/>
      </c>
      <c r="L24" s="26">
        <f>Costs!$B$16</f>
        <v/>
      </c>
      <c r="M24" s="26">
        <f>Costs!$B$16</f>
        <v/>
      </c>
      <c r="N24" s="26">
        <f>Costs!$B$16</f>
        <v/>
      </c>
      <c r="O24" s="26">
        <f>Costs!$B$16</f>
        <v/>
      </c>
      <c r="P24" s="26">
        <f>Costs!$B$16</f>
        <v/>
      </c>
      <c r="Q24" s="26">
        <f>Costs!$B$16</f>
        <v/>
      </c>
      <c r="R24" s="26">
        <f>Costs!$B$16</f>
        <v/>
      </c>
      <c r="S24" s="26">
        <f>Costs!$B$16</f>
        <v/>
      </c>
      <c r="T24" s="26">
        <f>Costs!$B$16</f>
        <v/>
      </c>
      <c r="U24" s="26">
        <f>Costs!$B$16</f>
        <v/>
      </c>
      <c r="V24" s="26">
        <f>Costs!$B$16</f>
        <v/>
      </c>
      <c r="W24" s="26">
        <f>Costs!$B$16</f>
        <v/>
      </c>
      <c r="X24" s="26">
        <f>Costs!$B$16</f>
        <v/>
      </c>
      <c r="Y24" s="26">
        <f>Costs!$B$16</f>
        <v/>
      </c>
      <c r="Z24" s="17">
        <f>SUM(B24:Y24)</f>
        <v/>
      </c>
    </row>
    <row r="25">
      <c r="A25" s="8" t="inlineStr">
        <is>
          <t>Managing agent</t>
        </is>
      </c>
      <c r="B25" s="26">
        <f>'Managing Agent'!B$30</f>
        <v/>
      </c>
      <c r="C25" s="26">
        <f>'Managing Agent'!C$30</f>
        <v/>
      </c>
      <c r="D25" s="26">
        <f>'Managing Agent'!D$30</f>
        <v/>
      </c>
      <c r="E25" s="26">
        <f>'Managing Agent'!E$30</f>
        <v/>
      </c>
      <c r="F25" s="26">
        <f>'Managing Agent'!F$30</f>
        <v/>
      </c>
      <c r="G25" s="26">
        <f>'Managing Agent'!G$30</f>
        <v/>
      </c>
      <c r="H25" s="26">
        <f>'Managing Agent'!H$30</f>
        <v/>
      </c>
      <c r="I25" s="26">
        <f>'Managing Agent'!I$30</f>
        <v/>
      </c>
      <c r="J25" s="26">
        <f>'Managing Agent'!J$30</f>
        <v/>
      </c>
      <c r="K25" s="26">
        <f>'Managing Agent'!K$30</f>
        <v/>
      </c>
      <c r="L25" s="26">
        <f>'Managing Agent'!L$30</f>
        <v/>
      </c>
      <c r="M25" s="26">
        <f>'Managing Agent'!M$30</f>
        <v/>
      </c>
      <c r="N25" s="26">
        <f>'Managing Agent'!N$30</f>
        <v/>
      </c>
      <c r="O25" s="26">
        <f>'Managing Agent'!O$30</f>
        <v/>
      </c>
      <c r="P25" s="26">
        <f>'Managing Agent'!P$30</f>
        <v/>
      </c>
      <c r="Q25" s="26">
        <f>'Managing Agent'!Q$30</f>
        <v/>
      </c>
      <c r="R25" s="26">
        <f>'Managing Agent'!R$30</f>
        <v/>
      </c>
      <c r="S25" s="26">
        <f>'Managing Agent'!S$30</f>
        <v/>
      </c>
      <c r="T25" s="26">
        <f>'Managing Agent'!T$30</f>
        <v/>
      </c>
      <c r="U25" s="26">
        <f>'Managing Agent'!U$30</f>
        <v/>
      </c>
      <c r="V25" s="26">
        <f>'Managing Agent'!V$30</f>
        <v/>
      </c>
      <c r="W25" s="26">
        <f>'Managing Agent'!W$30</f>
        <v/>
      </c>
      <c r="X25" s="26">
        <f>'Managing Agent'!X$30</f>
        <v/>
      </c>
      <c r="Y25" s="26">
        <f>'Managing Agent'!Y$30</f>
        <v/>
      </c>
      <c r="Z25" s="17">
        <f>SUM(B25:Y25)</f>
        <v/>
      </c>
    </row>
    <row r="26">
      <c r="A26" s="4" t="inlineStr">
        <is>
          <t>Total costs</t>
        </is>
      </c>
      <c r="B26" s="17">
        <f>SUM(B21:B25)</f>
        <v/>
      </c>
      <c r="C26" s="17">
        <f>SUM(C21:C25)</f>
        <v/>
      </c>
      <c r="D26" s="17">
        <f>SUM(D21:D25)</f>
        <v/>
      </c>
      <c r="E26" s="17">
        <f>SUM(E21:E25)</f>
        <v/>
      </c>
      <c r="F26" s="17">
        <f>SUM(F21:F25)</f>
        <v/>
      </c>
      <c r="G26" s="17">
        <f>SUM(G21:G25)</f>
        <v/>
      </c>
      <c r="H26" s="17">
        <f>SUM(H21:H25)</f>
        <v/>
      </c>
      <c r="I26" s="17">
        <f>SUM(I21:I25)</f>
        <v/>
      </c>
      <c r="J26" s="17">
        <f>SUM(J21:J25)</f>
        <v/>
      </c>
      <c r="K26" s="17">
        <f>SUM(K21:K25)</f>
        <v/>
      </c>
      <c r="L26" s="17">
        <f>SUM(L21:L25)</f>
        <v/>
      </c>
      <c r="M26" s="17">
        <f>SUM(M21:M25)</f>
        <v/>
      </c>
      <c r="N26" s="17">
        <f>SUM(N21:N25)</f>
        <v/>
      </c>
      <c r="O26" s="17">
        <f>SUM(O21:O25)</f>
        <v/>
      </c>
      <c r="P26" s="17">
        <f>SUM(P21:P25)</f>
        <v/>
      </c>
      <c r="Q26" s="17">
        <f>SUM(Q21:Q25)</f>
        <v/>
      </c>
      <c r="R26" s="17">
        <f>SUM(R21:R25)</f>
        <v/>
      </c>
      <c r="S26" s="17">
        <f>SUM(S21:S25)</f>
        <v/>
      </c>
      <c r="T26" s="17">
        <f>SUM(T21:T25)</f>
        <v/>
      </c>
      <c r="U26" s="17">
        <f>SUM(U21:U25)</f>
        <v/>
      </c>
      <c r="V26" s="17">
        <f>SUM(V21:V25)</f>
        <v/>
      </c>
      <c r="W26" s="17">
        <f>SUM(W21:W25)</f>
        <v/>
      </c>
      <c r="X26" s="17">
        <f>SUM(X21:X25)</f>
        <v/>
      </c>
      <c r="Y26" s="17">
        <f>SUM(Y21:Y25)</f>
        <v/>
      </c>
      <c r="Z26" s="17">
        <f>SUM(B26:Y26)</f>
        <v/>
      </c>
    </row>
    <row r="28">
      <c r="A28" s="4" t="inlineStr">
        <is>
          <t>Profit</t>
        </is>
      </c>
      <c r="B28" s="17">
        <f>B18-B26</f>
        <v/>
      </c>
      <c r="C28" s="17">
        <f>C18-C26</f>
        <v/>
      </c>
      <c r="D28" s="17">
        <f>D18-D26</f>
        <v/>
      </c>
      <c r="E28" s="17">
        <f>E18-E26</f>
        <v/>
      </c>
      <c r="F28" s="17">
        <f>F18-F26</f>
        <v/>
      </c>
      <c r="G28" s="17">
        <f>G18-G26</f>
        <v/>
      </c>
      <c r="H28" s="17">
        <f>H18-H26</f>
        <v/>
      </c>
      <c r="I28" s="17">
        <f>I18-I26</f>
        <v/>
      </c>
      <c r="J28" s="17">
        <f>J18-J26</f>
        <v/>
      </c>
      <c r="K28" s="17">
        <f>K18-K26</f>
        <v/>
      </c>
      <c r="L28" s="17">
        <f>L18-L26</f>
        <v/>
      </c>
      <c r="M28" s="17">
        <f>M18-M26</f>
        <v/>
      </c>
      <c r="N28" s="17">
        <f>N18-N26</f>
        <v/>
      </c>
      <c r="O28" s="17">
        <f>O18-O26</f>
        <v/>
      </c>
      <c r="P28" s="17">
        <f>P18-P26</f>
        <v/>
      </c>
      <c r="Q28" s="17">
        <f>Q18-Q26</f>
        <v/>
      </c>
      <c r="R28" s="17">
        <f>R18-R26</f>
        <v/>
      </c>
      <c r="S28" s="17">
        <f>S18-S26</f>
        <v/>
      </c>
      <c r="T28" s="17">
        <f>T18-T26</f>
        <v/>
      </c>
      <c r="U28" s="17">
        <f>U18-U26</f>
        <v/>
      </c>
      <c r="V28" s="17">
        <f>V18-V26</f>
        <v/>
      </c>
      <c r="W28" s="17">
        <f>W18-W26</f>
        <v/>
      </c>
      <c r="X28" s="17">
        <f>X18-X26</f>
        <v/>
      </c>
      <c r="Y28" s="17">
        <f>Y18-Y26</f>
        <v/>
      </c>
      <c r="Z28" s="17">
        <f>SUM(B28:Y28)</f>
        <v/>
      </c>
    </row>
    <row r="29">
      <c r="A29" s="4" t="inlineStr">
        <is>
          <t>Cumulative</t>
        </is>
      </c>
      <c r="B29" s="17">
        <f>B28</f>
        <v/>
      </c>
      <c r="C29" s="17">
        <f>B29+C28</f>
        <v/>
      </c>
      <c r="D29" s="17">
        <f>C29+D28</f>
        <v/>
      </c>
      <c r="E29" s="17">
        <f>D29+E28</f>
        <v/>
      </c>
      <c r="F29" s="17">
        <f>E29+F28</f>
        <v/>
      </c>
      <c r="G29" s="17">
        <f>F29+G28</f>
        <v/>
      </c>
      <c r="H29" s="17">
        <f>G29+H28</f>
        <v/>
      </c>
      <c r="I29" s="17">
        <f>H29+I28</f>
        <v/>
      </c>
      <c r="J29" s="17">
        <f>I29+J28</f>
        <v/>
      </c>
      <c r="K29" s="17">
        <f>J29+K28</f>
        <v/>
      </c>
      <c r="L29" s="17">
        <f>K29+L28</f>
        <v/>
      </c>
      <c r="M29" s="17">
        <f>L29+M28</f>
        <v/>
      </c>
      <c r="N29" s="17">
        <f>M29+N28</f>
        <v/>
      </c>
      <c r="O29" s="17">
        <f>N29+O28</f>
        <v/>
      </c>
      <c r="P29" s="17">
        <f>O29+P28</f>
        <v/>
      </c>
      <c r="Q29" s="17">
        <f>P29+Q28</f>
        <v/>
      </c>
      <c r="R29" s="17">
        <f>Q29+R28</f>
        <v/>
      </c>
      <c r="S29" s="17">
        <f>R29+S28</f>
        <v/>
      </c>
      <c r="T29" s="17">
        <f>S29+T28</f>
        <v/>
      </c>
      <c r="U29" s="17">
        <f>T29+U28</f>
        <v/>
      </c>
      <c r="V29" s="17">
        <f>U29+V28</f>
        <v/>
      </c>
      <c r="W29" s="17">
        <f>V29+W28</f>
        <v/>
      </c>
      <c r="X29" s="17">
        <f>W29+X28</f>
        <v/>
      </c>
      <c r="Y29" s="17">
        <f>X29+Y28</f>
        <v/>
      </c>
      <c r="Z29" s="17">
        <f>Y29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52" customWidth="1" min="3" max="3"/>
  </cols>
  <sheetData>
    <row r="1">
      <c r="A1" s="1" t="inlineStr">
        <is>
          <t>Unit economics</t>
        </is>
      </c>
    </row>
    <row r="3">
      <c r="A3" s="18" t="inlineStr">
        <is>
          <t>Per transaction</t>
        </is>
      </c>
      <c r="B3" s="19" t="n"/>
      <c r="C3" s="19" t="n"/>
    </row>
    <row r="4">
      <c r="A4" s="8" t="inlineStr">
        <is>
          <t>Transaction fee</t>
        </is>
      </c>
      <c r="B4" s="27">
        <f>Assumptions!$B$19</f>
        <v/>
      </c>
    </row>
    <row r="5">
      <c r="A5" s="8" t="inlineStr">
        <is>
          <t>Banking and file handling</t>
        </is>
      </c>
      <c r="B5" s="27">
        <f>-Costs!$B$20</f>
        <v/>
      </c>
    </row>
    <row r="6">
      <c r="A6" s="8" t="inlineStr">
        <is>
          <t>Your admin time</t>
        </is>
      </c>
      <c r="B6" s="27">
        <f>-IF(Costs!$B$3=1,Costs!$B$21,0)</f>
        <v/>
      </c>
    </row>
    <row r="7">
      <c r="A7" s="8" t="inlineStr">
        <is>
          <t>Managing agent override</t>
        </is>
      </c>
      <c r="B7" s="27">
        <f>-'Managing Agent'!$B$5*'Managing Agent'!$B$6</f>
        <v/>
      </c>
    </row>
    <row r="8">
      <c r="A8" s="4" t="inlineStr">
        <is>
          <t>Buyer-side contribution</t>
        </is>
      </c>
      <c r="B8" s="21">
        <f>SUM(B4:B7)</f>
        <v/>
      </c>
    </row>
    <row r="10">
      <c r="A10" s="8" t="inlineStr">
        <is>
          <t>Media cost</t>
        </is>
      </c>
      <c r="B10" s="27">
        <f>-Costs!$B$27*Assumptions!$E$12</f>
        <v/>
      </c>
    </row>
    <row r="11">
      <c r="A11" s="8" t="inlineStr">
        <is>
          <t>Media fee charged</t>
        </is>
      </c>
      <c r="B11" s="27">
        <f>Assumptions!$B$20</f>
        <v/>
      </c>
    </row>
    <row r="12">
      <c r="A12" s="8" t="inlineStr">
        <is>
          <t>Add-on margin</t>
        </is>
      </c>
      <c r="B12" s="27">
        <f>Costs!$B$37</f>
        <v/>
      </c>
    </row>
    <row r="13">
      <c r="A13" s="4" t="inlineStr">
        <is>
          <t>Listing-side contribution</t>
        </is>
      </c>
      <c r="B13" s="21">
        <f>B8+SUM(B10:B12)</f>
        <v/>
      </c>
    </row>
    <row r="15">
      <c r="A15" s="4" t="inlineStr">
        <is>
          <t>Blended per transaction</t>
        </is>
      </c>
      <c r="B15" s="21">
        <f>B8*(1-Assumptions!$E$11)+B13*Assumptions!$E$11</f>
        <v/>
      </c>
    </row>
    <row r="17">
      <c r="A17" s="18" t="inlineStr">
        <is>
          <t>Per agent</t>
        </is>
      </c>
      <c r="B17" s="19" t="n"/>
      <c r="C17" s="19" t="n"/>
    </row>
    <row r="18">
      <c r="A18" s="8" t="inlineStr">
        <is>
          <t>Membership fee</t>
        </is>
      </c>
      <c r="B18" s="27">
        <f>Assumptions!$B$18</f>
        <v/>
      </c>
    </row>
    <row r="19">
      <c r="A19" s="8" t="inlineStr">
        <is>
          <t>Seat cost</t>
        </is>
      </c>
      <c r="B19" s="27">
        <f>-Costs!$B$19</f>
        <v/>
      </c>
    </row>
    <row r="20">
      <c r="A20" s="8" t="inlineStr">
        <is>
          <t>Transaction contribution</t>
        </is>
      </c>
      <c r="B20" s="27">
        <f>Assumptions!$E$10*B15</f>
        <v/>
      </c>
    </row>
    <row r="21">
      <c r="A21" s="4" t="inlineStr">
        <is>
          <t>Per agent per month</t>
        </is>
      </c>
      <c r="B21" s="21">
        <f>SUM(B18:B20)</f>
        <v/>
      </c>
    </row>
    <row r="22">
      <c r="A22" s="4" t="inlineStr">
        <is>
          <t>Per agent per year</t>
        </is>
      </c>
      <c r="B22" s="21">
        <f>B21*12</f>
        <v/>
      </c>
    </row>
    <row r="24">
      <c r="A24" s="18" t="inlineStr">
        <is>
          <t>Break-even</t>
        </is>
      </c>
      <c r="B24" s="19" t="n"/>
      <c r="C24" s="19" t="n"/>
    </row>
    <row r="25">
      <c r="A25" s="8" t="inlineStr">
        <is>
          <t>Fixed overhead</t>
        </is>
      </c>
      <c r="B25" s="28">
        <f>Costs!$B$16</f>
        <v/>
      </c>
    </row>
    <row r="26">
      <c r="A26" s="8" t="inlineStr">
        <is>
          <t>Managing agent, year-1 average</t>
        </is>
      </c>
      <c r="B26" s="28">
        <f>AVERAGE('Managing Agent'!B30:M30)</f>
        <v/>
      </c>
    </row>
    <row r="27">
      <c r="A27" s="4" t="inlineStr">
        <is>
          <t>Agents to break even</t>
        </is>
      </c>
      <c r="B27" s="13">
        <f>IF(B21&lt;=0,"never",(B25+B26)/B21)</f>
        <v/>
      </c>
      <c r="C27" s="11" t="inlineStr">
        <is>
          <t>You and your mother are two.</t>
        </is>
      </c>
    </row>
    <row r="28">
      <c r="A28" s="4" t="inlineStr">
        <is>
          <t>Closings per month to break even</t>
        </is>
      </c>
      <c r="B28" s="13">
        <f>IF(B15&lt;=0,"never",(B25+B26)/B15)</f>
        <v/>
      </c>
    </row>
    <row r="30">
      <c r="A30" s="18" t="inlineStr">
        <is>
          <t>If you changed the monthly fee</t>
        </is>
      </c>
      <c r="B30" s="19" t="n"/>
      <c r="C30" s="19" t="n"/>
    </row>
    <row r="31" ht="26" customHeight="1">
      <c r="A31" s="6" t="inlineStr">
        <is>
          <t>Monthly fee</t>
        </is>
      </c>
      <c r="B31" s="7" t="inlineStr">
        <is>
          <t>Per agent/mo</t>
        </is>
      </c>
      <c r="C31" s="7" t="inlineStr">
        <is>
          <t>Agents to break even</t>
        </is>
      </c>
    </row>
    <row r="32">
      <c r="A32" s="16" t="n">
        <v>0</v>
      </c>
      <c r="B32" s="21">
        <f>A32-Costs!$B$19+Assumptions!$E$10*$B$15</f>
        <v/>
      </c>
      <c r="C32" s="13">
        <f>IF(B32&lt;=0,"never",($B$25+$B$26)/B32)</f>
        <v/>
      </c>
    </row>
    <row r="33">
      <c r="A33" s="16" t="n">
        <v>19</v>
      </c>
      <c r="B33" s="21">
        <f>A33-Costs!$B$19+Assumptions!$E$10*$B$15</f>
        <v/>
      </c>
      <c r="C33" s="13">
        <f>IF(B33&lt;=0,"never",($B$25+$B$26)/B33)</f>
        <v/>
      </c>
    </row>
    <row r="34">
      <c r="A34" s="16" t="n">
        <v>29</v>
      </c>
      <c r="B34" s="21">
        <f>A34-Costs!$B$19+Assumptions!$E$10*$B$15</f>
        <v/>
      </c>
      <c r="C34" s="13">
        <f>IF(B34&lt;=0,"never",($B$25+$B$26)/B34)</f>
        <v/>
      </c>
    </row>
    <row r="35">
      <c r="A35" s="16" t="n">
        <v>49</v>
      </c>
      <c r="B35" s="21">
        <f>A35-Costs!$B$19+Assumptions!$E$10*$B$15</f>
        <v/>
      </c>
      <c r="C35" s="13">
        <f>IF(B35&lt;=0,"never",($B$25+$B$26)/B35)</f>
        <v/>
      </c>
    </row>
    <row r="36">
      <c r="A36" s="16" t="n">
        <v>79</v>
      </c>
      <c r="B36" s="21">
        <f>A36-Costs!$B$19+Assumptions!$E$10*$B$15</f>
        <v/>
      </c>
      <c r="C36" s="13">
        <f>IF(B36&lt;=0,"never",($B$25+$B$26)/B36)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>
      <c r="A1" s="1" t="inlineStr">
        <is>
          <t>Paying the managing agent</t>
        </is>
      </c>
    </row>
    <row r="2">
      <c r="A2" s="22" t="inlineStr">
        <is>
          <t>Row 30 feeds the P&amp;L.</t>
        </is>
      </c>
    </row>
    <row r="3">
      <c r="A3" s="4" t="inlineStr">
        <is>
          <t>Structure</t>
        </is>
      </c>
      <c r="B3" s="29" t="inlineStr">
        <is>
          <t>Override only</t>
        </is>
      </c>
    </row>
    <row r="5">
      <c r="A5" s="8" t="inlineStr">
        <is>
          <t>Override per closed transaction</t>
        </is>
      </c>
      <c r="B5" s="16" t="n">
        <v>60</v>
      </c>
      <c r="D5" s="11" t="inlineStr">
        <is>
          <t>Paid on transactions closed by agents she recruited.</t>
        </is>
      </c>
    </row>
    <row r="6">
      <c r="A6" s="8" t="inlineStr">
        <is>
          <t>Share of closings credited to her</t>
        </is>
      </c>
      <c r="B6" s="14" t="n">
        <v>0.7</v>
      </c>
      <c r="D6" s="11" t="inlineStr">
        <is>
          <t>She recruits; you broker.</t>
        </is>
      </c>
    </row>
    <row r="7">
      <c r="A7" s="8" t="inlineStr">
        <is>
          <t>Mentor split, share of mentee commission</t>
        </is>
      </c>
      <c r="B7" s="14" t="n">
        <v>0.2</v>
      </c>
      <c r="D7" s="11" t="inlineStr">
        <is>
          <t>Paid by the MENTEE out of their commission. Not a brokerage cost.</t>
        </is>
      </c>
    </row>
    <row r="8">
      <c r="A8" s="8" t="inlineStr">
        <is>
          <t>Mentee transactions covered</t>
        </is>
      </c>
      <c r="B8" s="9" t="n">
        <v>3</v>
      </c>
      <c r="D8" s="11" t="inlineStr"/>
    </row>
    <row r="9">
      <c r="A9" s="8" t="inlineStr">
        <is>
          <t>Share of new agents needing a mentor</t>
        </is>
      </c>
      <c r="B9" s="14" t="n">
        <v>0.5</v>
      </c>
      <c r="D9" s="11" t="inlineStr"/>
    </row>
    <row r="10">
      <c r="A10" s="8" t="inlineStr">
        <is>
          <t>Commission per side to the agent</t>
        </is>
      </c>
      <c r="B10" s="16" t="n">
        <v>7750</v>
      </c>
      <c r="D10" s="11" t="inlineStr">
        <is>
          <t>2.5% of a $310k sale.</t>
        </is>
      </c>
    </row>
    <row r="11">
      <c r="A11" s="8" t="inlineStr">
        <is>
          <t>Monthly base, if selected</t>
        </is>
      </c>
      <c r="B11" s="16" t="n">
        <v>1500</v>
      </c>
      <c r="D11" s="11" t="inlineStr">
        <is>
          <t>Read the warning below first.</t>
        </is>
      </c>
    </row>
    <row r="13">
      <c r="A13" s="3" t="inlineStr">
        <is>
          <t>A fixed base is what can cost you the 1099</t>
        </is>
      </c>
    </row>
    <row r="14">
      <c r="A14" s="22" t="inlineStr">
        <is>
          <t>IRC s. 3508 requires substantially all of a licensee's pay to track output, not hours. A flat monthly</t>
        </is>
      </c>
    </row>
    <row r="15">
      <c r="A15" s="22" t="inlineStr">
        <is>
          <t>base paid to a licensed agent cuts against that, and if her classification falls, every agent's is open</t>
        </is>
      </c>
    </row>
    <row r="16">
      <c r="A16" s="22" t="inlineStr">
        <is>
          <t>to the same question. If you want to pay a base, pay it to an entity she forms for management services,</t>
        </is>
      </c>
    </row>
    <row r="17">
      <c r="A17" s="22" t="inlineStr">
        <is>
          <t>under a separate agreement, away from her license income.</t>
        </is>
      </c>
    </row>
    <row r="20">
      <c r="A20" s="4" t="inlineStr">
        <is>
          <t>Month</t>
        </is>
      </c>
      <c r="B20" s="23" t="n">
        <v>1</v>
      </c>
      <c r="C20" s="23" t="n">
        <v>2</v>
      </c>
      <c r="D20" s="23" t="n">
        <v>3</v>
      </c>
      <c r="E20" s="23" t="n">
        <v>4</v>
      </c>
      <c r="F20" s="23" t="n">
        <v>5</v>
      </c>
      <c r="G20" s="23" t="n">
        <v>6</v>
      </c>
      <c r="H20" s="23" t="n">
        <v>7</v>
      </c>
      <c r="I20" s="23" t="n">
        <v>8</v>
      </c>
      <c r="J20" s="23" t="n">
        <v>9</v>
      </c>
      <c r="K20" s="23" t="n">
        <v>10</v>
      </c>
      <c r="L20" s="23" t="n">
        <v>11</v>
      </c>
      <c r="M20" s="23" t="n">
        <v>12</v>
      </c>
      <c r="N20" s="23" t="n">
        <v>13</v>
      </c>
      <c r="O20" s="23" t="n">
        <v>14</v>
      </c>
      <c r="P20" s="23" t="n">
        <v>15</v>
      </c>
      <c r="Q20" s="23" t="n">
        <v>16</v>
      </c>
      <c r="R20" s="23" t="n">
        <v>17</v>
      </c>
      <c r="S20" s="23" t="n">
        <v>18</v>
      </c>
      <c r="T20" s="23" t="n">
        <v>19</v>
      </c>
      <c r="U20" s="23" t="n">
        <v>20</v>
      </c>
      <c r="V20" s="23" t="n">
        <v>21</v>
      </c>
      <c r="W20" s="23" t="n">
        <v>22</v>
      </c>
      <c r="X20" s="23" t="n">
        <v>23</v>
      </c>
      <c r="Y20" s="23" t="n">
        <v>24</v>
      </c>
      <c r="Z20" s="24" t="inlineStr">
        <is>
          <t>Total</t>
        </is>
      </c>
    </row>
    <row r="21">
      <c r="A21" s="8" t="inlineStr">
        <is>
          <t>Closings by her recruits</t>
        </is>
      </c>
      <c r="B21" s="25">
        <f>'Profit and Loss'!B8*$B$6</f>
        <v/>
      </c>
      <c r="C21" s="25">
        <f>'Profit and Loss'!C8*$B$6</f>
        <v/>
      </c>
      <c r="D21" s="25">
        <f>'Profit and Loss'!D8*$B$6</f>
        <v/>
      </c>
      <c r="E21" s="25">
        <f>'Profit and Loss'!E8*$B$6</f>
        <v/>
      </c>
      <c r="F21" s="25">
        <f>'Profit and Loss'!F8*$B$6</f>
        <v/>
      </c>
      <c r="G21" s="25">
        <f>'Profit and Loss'!G8*$B$6</f>
        <v/>
      </c>
      <c r="H21" s="25">
        <f>'Profit and Loss'!H8*$B$6</f>
        <v/>
      </c>
      <c r="I21" s="25">
        <f>'Profit and Loss'!I8*$B$6</f>
        <v/>
      </c>
      <c r="J21" s="25">
        <f>'Profit and Loss'!J8*$B$6</f>
        <v/>
      </c>
      <c r="K21" s="25">
        <f>'Profit and Loss'!K8*$B$6</f>
        <v/>
      </c>
      <c r="L21" s="25">
        <f>'Profit and Loss'!L8*$B$6</f>
        <v/>
      </c>
      <c r="M21" s="25">
        <f>'Profit and Loss'!M8*$B$6</f>
        <v/>
      </c>
      <c r="N21" s="25">
        <f>'Profit and Loss'!N8*$B$6</f>
        <v/>
      </c>
      <c r="O21" s="25">
        <f>'Profit and Loss'!O8*$B$6</f>
        <v/>
      </c>
      <c r="P21" s="25">
        <f>'Profit and Loss'!P8*$B$6</f>
        <v/>
      </c>
      <c r="Q21" s="25">
        <f>'Profit and Loss'!Q8*$B$6</f>
        <v/>
      </c>
      <c r="R21" s="25">
        <f>'Profit and Loss'!R8*$B$6</f>
        <v/>
      </c>
      <c r="S21" s="25">
        <f>'Profit and Loss'!S8*$B$6</f>
        <v/>
      </c>
      <c r="T21" s="25">
        <f>'Profit and Loss'!T8*$B$6</f>
        <v/>
      </c>
      <c r="U21" s="25">
        <f>'Profit and Loss'!U8*$B$6</f>
        <v/>
      </c>
      <c r="V21" s="25">
        <f>'Profit and Loss'!V8*$B$6</f>
        <v/>
      </c>
      <c r="W21" s="25">
        <f>'Profit and Loss'!W8*$B$6</f>
        <v/>
      </c>
      <c r="X21" s="25">
        <f>'Profit and Loss'!X8*$B$6</f>
        <v/>
      </c>
      <c r="Y21" s="25">
        <f>'Profit and Loss'!Y8*$B$6</f>
        <v/>
      </c>
      <c r="Z21" s="13">
        <f>SUM(B21:Y21)</f>
        <v/>
      </c>
    </row>
    <row r="22">
      <c r="A22" s="8" t="inlineStr">
        <is>
          <t>Override earned</t>
        </is>
      </c>
      <c r="B22" s="26">
        <f>B21*$B$5</f>
        <v/>
      </c>
      <c r="C22" s="26">
        <f>C21*$B$5</f>
        <v/>
      </c>
      <c r="D22" s="26">
        <f>D21*$B$5</f>
        <v/>
      </c>
      <c r="E22" s="26">
        <f>E21*$B$5</f>
        <v/>
      </c>
      <c r="F22" s="26">
        <f>F21*$B$5</f>
        <v/>
      </c>
      <c r="G22" s="26">
        <f>G21*$B$5</f>
        <v/>
      </c>
      <c r="H22" s="26">
        <f>H21*$B$5</f>
        <v/>
      </c>
      <c r="I22" s="26">
        <f>I21*$B$5</f>
        <v/>
      </c>
      <c r="J22" s="26">
        <f>J21*$B$5</f>
        <v/>
      </c>
      <c r="K22" s="26">
        <f>K21*$B$5</f>
        <v/>
      </c>
      <c r="L22" s="26">
        <f>L21*$B$5</f>
        <v/>
      </c>
      <c r="M22" s="26">
        <f>M21*$B$5</f>
        <v/>
      </c>
      <c r="N22" s="26">
        <f>N21*$B$5</f>
        <v/>
      </c>
      <c r="O22" s="26">
        <f>O21*$B$5</f>
        <v/>
      </c>
      <c r="P22" s="26">
        <f>P21*$B$5</f>
        <v/>
      </c>
      <c r="Q22" s="26">
        <f>Q21*$B$5</f>
        <v/>
      </c>
      <c r="R22" s="26">
        <f>R21*$B$5</f>
        <v/>
      </c>
      <c r="S22" s="26">
        <f>S21*$B$5</f>
        <v/>
      </c>
      <c r="T22" s="26">
        <f>T21*$B$5</f>
        <v/>
      </c>
      <c r="U22" s="26">
        <f>U21*$B$5</f>
        <v/>
      </c>
      <c r="V22" s="26">
        <f>V21*$B$5</f>
        <v/>
      </c>
      <c r="W22" s="26">
        <f>W21*$B$5</f>
        <v/>
      </c>
      <c r="X22" s="26">
        <f>X21*$B$5</f>
        <v/>
      </c>
      <c r="Y22" s="26">
        <f>Y21*$B$5</f>
        <v/>
      </c>
      <c r="Z22" s="17">
        <f>SUM(B22:Y22)</f>
        <v/>
      </c>
    </row>
    <row r="23">
      <c r="A23" s="8" t="inlineStr">
        <is>
          <t>New agents this month</t>
        </is>
      </c>
      <c r="B23" s="25">
        <f>0</f>
        <v/>
      </c>
      <c r="C23" s="25">
        <f>MAX(0,'Profit and Loss'!C7-'Profit and Loss'!B7)</f>
        <v/>
      </c>
      <c r="D23" s="25">
        <f>MAX(0,'Profit and Loss'!D7-'Profit and Loss'!C7)</f>
        <v/>
      </c>
      <c r="E23" s="25">
        <f>MAX(0,'Profit and Loss'!E7-'Profit and Loss'!D7)</f>
        <v/>
      </c>
      <c r="F23" s="25">
        <f>MAX(0,'Profit and Loss'!F7-'Profit and Loss'!E7)</f>
        <v/>
      </c>
      <c r="G23" s="25">
        <f>MAX(0,'Profit and Loss'!G7-'Profit and Loss'!F7)</f>
        <v/>
      </c>
      <c r="H23" s="25">
        <f>MAX(0,'Profit and Loss'!H7-'Profit and Loss'!G7)</f>
        <v/>
      </c>
      <c r="I23" s="25">
        <f>MAX(0,'Profit and Loss'!I7-'Profit and Loss'!H7)</f>
        <v/>
      </c>
      <c r="J23" s="25">
        <f>MAX(0,'Profit and Loss'!J7-'Profit and Loss'!I7)</f>
        <v/>
      </c>
      <c r="K23" s="25">
        <f>MAX(0,'Profit and Loss'!K7-'Profit and Loss'!J7)</f>
        <v/>
      </c>
      <c r="L23" s="25">
        <f>MAX(0,'Profit and Loss'!L7-'Profit and Loss'!K7)</f>
        <v/>
      </c>
      <c r="M23" s="25">
        <f>MAX(0,'Profit and Loss'!M7-'Profit and Loss'!L7)</f>
        <v/>
      </c>
      <c r="N23" s="25">
        <f>MAX(0,'Profit and Loss'!N7-'Profit and Loss'!M7)</f>
        <v/>
      </c>
      <c r="O23" s="25">
        <f>MAX(0,'Profit and Loss'!O7-'Profit and Loss'!N7)</f>
        <v/>
      </c>
      <c r="P23" s="25">
        <f>MAX(0,'Profit and Loss'!P7-'Profit and Loss'!O7)</f>
        <v/>
      </c>
      <c r="Q23" s="25">
        <f>MAX(0,'Profit and Loss'!Q7-'Profit and Loss'!P7)</f>
        <v/>
      </c>
      <c r="R23" s="25">
        <f>MAX(0,'Profit and Loss'!R7-'Profit and Loss'!Q7)</f>
        <v/>
      </c>
      <c r="S23" s="25">
        <f>MAX(0,'Profit and Loss'!S7-'Profit and Loss'!R7)</f>
        <v/>
      </c>
      <c r="T23" s="25">
        <f>MAX(0,'Profit and Loss'!T7-'Profit and Loss'!S7)</f>
        <v/>
      </c>
      <c r="U23" s="25">
        <f>MAX(0,'Profit and Loss'!U7-'Profit and Loss'!T7)</f>
        <v/>
      </c>
      <c r="V23" s="25">
        <f>MAX(0,'Profit and Loss'!V7-'Profit and Loss'!U7)</f>
        <v/>
      </c>
      <c r="W23" s="25">
        <f>MAX(0,'Profit and Loss'!W7-'Profit and Loss'!V7)</f>
        <v/>
      </c>
      <c r="X23" s="25">
        <f>MAX(0,'Profit and Loss'!X7-'Profit and Loss'!W7)</f>
        <v/>
      </c>
      <c r="Y23" s="25">
        <f>MAX(0,'Profit and Loss'!Y7-'Profit and Loss'!X7)</f>
        <v/>
      </c>
      <c r="Z23" s="13">
        <f>SUM(B23:Y23)</f>
        <v/>
      </c>
    </row>
    <row r="24">
      <c r="A24" s="8" t="inlineStr">
        <is>
          <t>Mentor split, paid by mentees</t>
        </is>
      </c>
      <c r="B24" s="26">
        <f>B23*$B$9*$B$8*$B$10*$B$7</f>
        <v/>
      </c>
      <c r="C24" s="26">
        <f>C23*$B$9*$B$8*$B$10*$B$7</f>
        <v/>
      </c>
      <c r="D24" s="26">
        <f>D23*$B$9*$B$8*$B$10*$B$7</f>
        <v/>
      </c>
      <c r="E24" s="26">
        <f>E23*$B$9*$B$8*$B$10*$B$7</f>
        <v/>
      </c>
      <c r="F24" s="26">
        <f>F23*$B$9*$B$8*$B$10*$B$7</f>
        <v/>
      </c>
      <c r="G24" s="26">
        <f>G23*$B$9*$B$8*$B$10*$B$7</f>
        <v/>
      </c>
      <c r="H24" s="26">
        <f>H23*$B$9*$B$8*$B$10*$B$7</f>
        <v/>
      </c>
      <c r="I24" s="26">
        <f>I23*$B$9*$B$8*$B$10*$B$7</f>
        <v/>
      </c>
      <c r="J24" s="26">
        <f>J23*$B$9*$B$8*$B$10*$B$7</f>
        <v/>
      </c>
      <c r="K24" s="26">
        <f>K23*$B$9*$B$8*$B$10*$B$7</f>
        <v/>
      </c>
      <c r="L24" s="26">
        <f>L23*$B$9*$B$8*$B$10*$B$7</f>
        <v/>
      </c>
      <c r="M24" s="26">
        <f>M23*$B$9*$B$8*$B$10*$B$7</f>
        <v/>
      </c>
      <c r="N24" s="26">
        <f>N23*$B$9*$B$8*$B$10*$B$7</f>
        <v/>
      </c>
      <c r="O24" s="26">
        <f>O23*$B$9*$B$8*$B$10*$B$7</f>
        <v/>
      </c>
      <c r="P24" s="26">
        <f>P23*$B$9*$B$8*$B$10*$B$7</f>
        <v/>
      </c>
      <c r="Q24" s="26">
        <f>Q23*$B$9*$B$8*$B$10*$B$7</f>
        <v/>
      </c>
      <c r="R24" s="26">
        <f>R23*$B$9*$B$8*$B$10*$B$7</f>
        <v/>
      </c>
      <c r="S24" s="26">
        <f>S23*$B$9*$B$8*$B$10*$B$7</f>
        <v/>
      </c>
      <c r="T24" s="26">
        <f>T23*$B$9*$B$8*$B$10*$B$7</f>
        <v/>
      </c>
      <c r="U24" s="26">
        <f>U23*$B$9*$B$8*$B$10*$B$7</f>
        <v/>
      </c>
      <c r="V24" s="26">
        <f>V23*$B$9*$B$8*$B$10*$B$7</f>
        <v/>
      </c>
      <c r="W24" s="26">
        <f>W23*$B$9*$B$8*$B$10*$B$7</f>
        <v/>
      </c>
      <c r="X24" s="26">
        <f>X23*$B$9*$B$8*$B$10*$B$7</f>
        <v/>
      </c>
      <c r="Y24" s="26">
        <f>Y23*$B$9*$B$8*$B$10*$B$7</f>
        <v/>
      </c>
      <c r="Z24" s="17">
        <f>SUM(B24:Y24)</f>
        <v/>
      </c>
    </row>
    <row r="25">
      <c r="A25" s="8" t="inlineStr">
        <is>
          <t>Base, if selected</t>
        </is>
      </c>
      <c r="B25" s="26">
        <f>IF($B$3="Override + base",$B$11,0)</f>
        <v/>
      </c>
      <c r="C25" s="26">
        <f>IF($B$3="Override + base",$B$11,0)</f>
        <v/>
      </c>
      <c r="D25" s="26">
        <f>IF($B$3="Override + base",$B$11,0)</f>
        <v/>
      </c>
      <c r="E25" s="26">
        <f>IF($B$3="Override + base",$B$11,0)</f>
        <v/>
      </c>
      <c r="F25" s="26">
        <f>IF($B$3="Override + base",$B$11,0)</f>
        <v/>
      </c>
      <c r="G25" s="26">
        <f>IF($B$3="Override + base",$B$11,0)</f>
        <v/>
      </c>
      <c r="H25" s="26">
        <f>IF($B$3="Override + base",$B$11,0)</f>
        <v/>
      </c>
      <c r="I25" s="26">
        <f>IF($B$3="Override + base",$B$11,0)</f>
        <v/>
      </c>
      <c r="J25" s="26">
        <f>IF($B$3="Override + base",$B$11,0)</f>
        <v/>
      </c>
      <c r="K25" s="26">
        <f>IF($B$3="Override + base",$B$11,0)</f>
        <v/>
      </c>
      <c r="L25" s="26">
        <f>IF($B$3="Override + base",$B$11,0)</f>
        <v/>
      </c>
      <c r="M25" s="26">
        <f>IF($B$3="Override + base",$B$11,0)</f>
        <v/>
      </c>
      <c r="N25" s="26">
        <f>IF($B$3="Override + base",$B$11,0)</f>
        <v/>
      </c>
      <c r="O25" s="26">
        <f>IF($B$3="Override + base",$B$11,0)</f>
        <v/>
      </c>
      <c r="P25" s="26">
        <f>IF($B$3="Override + base",$B$11,0)</f>
        <v/>
      </c>
      <c r="Q25" s="26">
        <f>IF($B$3="Override + base",$B$11,0)</f>
        <v/>
      </c>
      <c r="R25" s="26">
        <f>IF($B$3="Override + base",$B$11,0)</f>
        <v/>
      </c>
      <c r="S25" s="26">
        <f>IF($B$3="Override + base",$B$11,0)</f>
        <v/>
      </c>
      <c r="T25" s="26">
        <f>IF($B$3="Override + base",$B$11,0)</f>
        <v/>
      </c>
      <c r="U25" s="26">
        <f>IF($B$3="Override + base",$B$11,0)</f>
        <v/>
      </c>
      <c r="V25" s="26">
        <f>IF($B$3="Override + base",$B$11,0)</f>
        <v/>
      </c>
      <c r="W25" s="26">
        <f>IF($B$3="Override + base",$B$11,0)</f>
        <v/>
      </c>
      <c r="X25" s="26">
        <f>IF($B$3="Override + base",$B$11,0)</f>
        <v/>
      </c>
      <c r="Y25" s="26">
        <f>IF($B$3="Override + base",$B$11,0)</f>
        <v/>
      </c>
      <c r="Z25" s="17">
        <f>SUM(B25:Y25)</f>
        <v/>
      </c>
    </row>
    <row r="30">
      <c r="A30" s="4" t="inlineStr">
        <is>
          <t>Cost to the brokerage</t>
        </is>
      </c>
      <c r="B30" s="17">
        <f>B22+B25</f>
        <v/>
      </c>
      <c r="C30" s="17">
        <f>C22+C25</f>
        <v/>
      </c>
      <c r="D30" s="17">
        <f>D22+D25</f>
        <v/>
      </c>
      <c r="E30" s="17">
        <f>E22+E25</f>
        <v/>
      </c>
      <c r="F30" s="17">
        <f>F22+F25</f>
        <v/>
      </c>
      <c r="G30" s="17">
        <f>G22+G25</f>
        <v/>
      </c>
      <c r="H30" s="17">
        <f>H22+H25</f>
        <v/>
      </c>
      <c r="I30" s="17">
        <f>I22+I25</f>
        <v/>
      </c>
      <c r="J30" s="17">
        <f>J22+J25</f>
        <v/>
      </c>
      <c r="K30" s="17">
        <f>K22+K25</f>
        <v/>
      </c>
      <c r="L30" s="17">
        <f>L22+L25</f>
        <v/>
      </c>
      <c r="M30" s="17">
        <f>M22+M25</f>
        <v/>
      </c>
      <c r="N30" s="17">
        <f>N22+N25</f>
        <v/>
      </c>
      <c r="O30" s="17">
        <f>O22+O25</f>
        <v/>
      </c>
      <c r="P30" s="17">
        <f>P22+P25</f>
        <v/>
      </c>
      <c r="Q30" s="17">
        <f>Q22+Q25</f>
        <v/>
      </c>
      <c r="R30" s="17">
        <f>R22+R25</f>
        <v/>
      </c>
      <c r="S30" s="17">
        <f>S22+S25</f>
        <v/>
      </c>
      <c r="T30" s="17">
        <f>T22+T25</f>
        <v/>
      </c>
      <c r="U30" s="17">
        <f>U22+U25</f>
        <v/>
      </c>
      <c r="V30" s="17">
        <f>V22+V25</f>
        <v/>
      </c>
      <c r="W30" s="17">
        <f>W22+W25</f>
        <v/>
      </c>
      <c r="X30" s="17">
        <f>X22+X25</f>
        <v/>
      </c>
      <c r="Y30" s="17">
        <f>Y22+Y25</f>
        <v/>
      </c>
      <c r="Z30" s="17">
        <f>SUM(B30:Y30)</f>
        <v/>
      </c>
    </row>
    <row r="32">
      <c r="A32" s="3" t="inlineStr">
        <is>
          <t>What she earns, year 1</t>
        </is>
      </c>
    </row>
    <row r="33">
      <c r="A33" s="8" t="inlineStr">
        <is>
          <t>Her own closings per month</t>
        </is>
      </c>
      <c r="B33" s="30">
        <f>Assumptions!$E$10</f>
        <v/>
      </c>
    </row>
    <row r="34">
      <c r="A34" s="8" t="inlineStr">
        <is>
          <t>Her commission income</t>
        </is>
      </c>
      <c r="B34" s="17">
        <f>B33*12*$B$10</f>
        <v/>
      </c>
    </row>
    <row r="35">
      <c r="A35" s="8" t="inlineStr">
        <is>
          <t>Override and mentor income</t>
        </is>
      </c>
      <c r="B35" s="17">
        <f>SUM(B22:M22)+SUM(B24:M24)</f>
        <v/>
      </c>
    </row>
    <row r="36">
      <c r="A36" s="8" t="inlineStr">
        <is>
          <t>Fees she pays the brokerage</t>
        </is>
      </c>
      <c r="B36" s="17">
        <f>-(12*Assumptions!$B$18+B33*12*Assumptions!$B$19)</f>
        <v/>
      </c>
    </row>
    <row r="37">
      <c r="A37" s="4" t="inlineStr">
        <is>
          <t>Net to her</t>
        </is>
      </c>
      <c r="B37" s="17">
        <f>B34+B35+B36</f>
        <v/>
      </c>
    </row>
  </sheetData>
  <dataValidations count="1">
    <dataValidation sqref="B3" showDropDown="0" showInputMessage="0" showErrorMessage="0" allowBlank="0" type="list">
      <formula1>"Override only,Override + base"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50" customWidth="1" min="5" max="5"/>
  </cols>
  <sheetData>
    <row r="1">
      <c r="A1" s="1" t="inlineStr">
        <is>
          <t>Property management and enterprise value</t>
        </is>
      </c>
    </row>
    <row r="3">
      <c r="A3" s="18" t="inlineStr">
        <is>
          <t>Property management</t>
        </is>
      </c>
      <c r="B3" s="19" t="n"/>
      <c r="C3" s="19" t="n"/>
      <c r="D3" s="19" t="n"/>
      <c r="E3" s="19" t="n"/>
    </row>
    <row r="4">
      <c r="A4" s="8" t="inlineStr">
        <is>
          <t>Doors at month 24</t>
        </is>
      </c>
      <c r="B4" s="13">
        <f>Assumptions!$E$13+Assumptions!$E$14*24</f>
        <v/>
      </c>
    </row>
    <row r="5">
      <c r="A5" s="8" t="inlineStr">
        <is>
          <t>Monthly fee per door</t>
        </is>
      </c>
      <c r="B5" s="28">
        <f>Assumptions!$E$15</f>
        <v/>
      </c>
    </row>
    <row r="6">
      <c r="A6" s="4" t="inlineStr">
        <is>
          <t>Annual recurring revenue</t>
        </is>
      </c>
      <c r="B6" s="17">
        <f>B4*B5*12</f>
        <v/>
      </c>
    </row>
    <row r="7">
      <c r="A7" s="8" t="inlineStr">
        <is>
          <t>Leasing fees per year</t>
        </is>
      </c>
      <c r="B7" s="16">
        <f>B4*0.4*0.75*Assumptions!$E$15*6</f>
        <v/>
      </c>
      <c r="E7" s="11" t="inlineStr">
        <is>
          <t>Rough placeholder. Replace with your own turnover and leasing fee.</t>
        </is>
      </c>
    </row>
    <row r="8">
      <c r="A8" s="8" t="inlineStr">
        <is>
          <t>Direct cost share</t>
        </is>
      </c>
      <c r="B8" s="14" t="n">
        <v>0.35</v>
      </c>
    </row>
    <row r="9">
      <c r="A9" s="4" t="inlineStr">
        <is>
          <t>PM contribution per year</t>
        </is>
      </c>
      <c r="B9" s="17">
        <f>(B6+B7)*(1-B8)</f>
        <v/>
      </c>
    </row>
    <row r="11">
      <c r="A11" s="18" t="inlineStr">
        <is>
          <t>What each business is worth</t>
        </is>
      </c>
      <c r="B11" s="19" t="n"/>
      <c r="C11" s="19" t="n"/>
      <c r="D11" s="19" t="n"/>
      <c r="E11" s="19" t="n"/>
    </row>
    <row r="12" ht="26" customHeight="1">
      <c r="A12" s="6" t="inlineStr"/>
      <c r="B12" s="7" t="inlineStr">
        <is>
          <t>Low</t>
        </is>
      </c>
      <c r="C12" s="7" t="inlineStr">
        <is>
          <t>Mid</t>
        </is>
      </c>
      <c r="D12" s="7" t="inlineStr">
        <is>
          <t>High</t>
        </is>
      </c>
      <c r="E12" s="7" t="inlineStr">
        <is>
          <t>Basis</t>
        </is>
      </c>
    </row>
    <row r="13">
      <c r="A13" s="8" t="inlineStr">
        <is>
          <t>Brokerage multiple of profit</t>
        </is>
      </c>
      <c r="B13" s="31" t="n">
        <v>1.5</v>
      </c>
      <c r="C13" s="31" t="n">
        <v>2.5</v>
      </c>
      <c r="D13" s="31" t="n">
        <v>3.5</v>
      </c>
      <c r="E13" s="11" t="inlineStr">
        <is>
          <t>Small brokerages trade low. Rosters walk and fee income is not contracted.</t>
        </is>
      </c>
    </row>
    <row r="14">
      <c r="A14" s="8" t="inlineStr">
        <is>
          <t>Brokerage profit, year 2</t>
        </is>
      </c>
      <c r="B14" s="28">
        <f>SUM('Profit and Loss'!N28:Y28)</f>
        <v/>
      </c>
    </row>
    <row r="15">
      <c r="A15" s="4" t="inlineStr">
        <is>
          <t>Brokerage value</t>
        </is>
      </c>
      <c r="B15" s="17">
        <f>MAX(0,$B$14*B13)</f>
        <v/>
      </c>
      <c r="C15" s="17">
        <f>MAX(0,$B$14*C13)</f>
        <v/>
      </c>
      <c r="D15" s="17">
        <f>MAX(0,$B$14*D13)</f>
        <v/>
      </c>
    </row>
    <row r="17">
      <c r="A17" s="8" t="inlineStr">
        <is>
          <t>PM multiple of recurring revenue</t>
        </is>
      </c>
      <c r="B17" s="31" t="n">
        <v>1.2</v>
      </c>
      <c r="C17" s="31" t="n">
        <v>1.8</v>
      </c>
      <c r="D17" s="31" t="n">
        <v>2.5</v>
      </c>
      <c r="E17" s="11" t="inlineStr">
        <is>
          <t>Management contracts recur and transfer, so PM books trade on revenue.</t>
        </is>
      </c>
    </row>
    <row r="18">
      <c r="A18" s="4" t="inlineStr">
        <is>
          <t>PM value</t>
        </is>
      </c>
      <c r="B18" s="17">
        <f>$B$6*B17</f>
        <v/>
      </c>
      <c r="C18" s="17">
        <f>$B$6*C17</f>
        <v/>
      </c>
      <c r="D18" s="17">
        <f>$B$6*D17</f>
        <v/>
      </c>
    </row>
    <row r="20">
      <c r="A20" s="4" t="inlineStr">
        <is>
          <t>Combined</t>
        </is>
      </c>
      <c r="B20" s="17">
        <f>B15+B18</f>
        <v/>
      </c>
      <c r="C20" s="17">
        <f>C15+C18</f>
        <v/>
      </c>
      <c r="D20" s="17">
        <f>D15+D18</f>
        <v/>
      </c>
    </row>
    <row r="21">
      <c r="A21" s="4" t="inlineStr">
        <is>
          <t>PM share of value</t>
        </is>
      </c>
      <c r="B21" s="15">
        <f>IFERROR(B18/(B15+B18),0)</f>
        <v/>
      </c>
      <c r="C21" s="15">
        <f>IFERROR(C18/(C15+C18),0)</f>
        <v/>
      </c>
      <c r="D21" s="15">
        <f>IFERROR(D18/(D15+D18),0)</f>
        <v/>
      </c>
      <c r="E21" s="11" t="inlineStr">
        <is>
          <t>If most of the value is here, the brokerage's job is to feed this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2026-10-23T15:31:53Z</dcterms:created>
  <dcterms:modified xsi:type="dcterms:W3CDTF">2026-10-23T15:31:53Z</dcterms:modified>
</cp:coreProperties>
</file>