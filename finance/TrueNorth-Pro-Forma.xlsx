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enarios" sheetId="2" state="visible" r:id="rId2"/>
    <sheet name="Tiers" sheetId="3" state="visible" r:id="rId3"/>
    <sheet name="Costs" sheetId="4" state="visible" r:id="rId4"/>
    <sheet name="P&amp;L" sheetId="5" state="visible" r:id="rId5"/>
    <sheet name="Unit Economics" sheetId="6" state="visible" r:id="rId6"/>
    <sheet name="Managing Agent" sheetId="7" state="visible" r:id="rId7"/>
    <sheet name="PM and E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#,##0.0;(#,##0.0);&quot;-&quot;"/>
    <numFmt numFmtId="166" formatCode="0.0%;(0.0%);&quot;-&quot;"/>
    <numFmt numFmtId="167" formatCode="$#,##0;($#,##0);&quot;-&quot;"/>
    <numFmt numFmtId="168" formatCode="$#,##0.00;($#,##0.00);&quot;-&quot;"/>
    <numFmt numFmtId="169" formatCode="0.0x"/>
  </numFmts>
  <fonts count="9">
    <font>
      <name val="Calibri"/>
      <family val="2"/>
      <color theme="1"/>
      <sz val="11"/>
      <scheme val="minor"/>
    </font>
    <font>
      <name val="Arial"/>
      <b val="1"/>
      <color rgb="000F2742"/>
      <sz val="16"/>
    </font>
    <font>
      <name val="Arial"/>
      <sz val="10"/>
    </font>
    <font>
      <name val="Arial"/>
      <b val="1"/>
      <color rgb="000F2742"/>
      <sz val="10"/>
    </font>
    <font>
      <name val="Arial"/>
      <i val="1"/>
      <color rgb="006B7280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F2742"/>
      </patternFill>
    </fill>
    <fill>
      <patternFill patternType="solid">
        <fgColor rgb="00F6F1E7"/>
      </patternFill>
    </fill>
  </fills>
  <borders count="2">
    <border>
      <left/>
      <right/>
      <top/>
      <bottom/>
      <diagonal/>
    </border>
    <border>
      <left style="thin">
        <color rgb="00D7DEE7"/>
      </left>
      <right style="thin">
        <color rgb="00D7DEE7"/>
      </right>
      <top style="thin">
        <color rgb="00D7DEE7"/>
      </top>
      <bottom style="thin">
        <color rgb="00D7DEE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0" fontId="4" fillId="0" borderId="1" pivotButton="0" quotePrefix="0" xfId="0"/>
    <xf numFmtId="165" fontId="6" fillId="0" borderId="1" pivotButton="0" quotePrefix="0" xfId="0"/>
    <xf numFmtId="165" fontId="5" fillId="0" borderId="1" pivotButton="0" quotePrefix="0" xfId="0"/>
    <xf numFmtId="166" fontId="6" fillId="0" borderId="1" pivotButton="0" quotePrefix="0" xfId="0"/>
    <xf numFmtId="166" fontId="5" fillId="0" borderId="1" pivotButton="0" quotePrefix="0" xfId="0"/>
    <xf numFmtId="167" fontId="6" fillId="0" borderId="1" pivotButton="0" quotePrefix="0" xfId="0"/>
    <xf numFmtId="167" fontId="5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168" fontId="5" fillId="0" borderId="1" pivotButton="0" quotePrefix="0" xfId="0"/>
    <xf numFmtId="164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5" fontId="2" fillId="0" borderId="1" pivotButton="0" quotePrefix="0" xfId="0"/>
    <xf numFmtId="167" fontId="2" fillId="0" borderId="1" pivotButton="0" quotePrefix="0" xfId="0"/>
    <xf numFmtId="166" fontId="2" fillId="0" borderId="1" pivotButton="0" quotePrefix="0" xfId="0"/>
    <xf numFmtId="168" fontId="8" fillId="0" borderId="1" pivotButton="0" quotePrefix="0" xfId="0"/>
    <xf numFmtId="167" fontId="8" fillId="0" borderId="1" pivotButton="0" quotePrefix="0" xfId="0"/>
    <xf numFmtId="0" fontId="6" fillId="2" borderId="1" pivotButton="0" quotePrefix="0" xfId="0"/>
    <xf numFmtId="0" fontId="3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9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TrueNorth — Brokerage and Property Management Pro Forma</t>
        </is>
      </c>
    </row>
    <row r="3">
      <c r="A3" s="2" t="inlineStr"/>
    </row>
    <row r="4">
      <c r="A4" s="3" t="inlineStr">
        <is>
          <t>HOW TO USE THIS MODEL</t>
        </is>
      </c>
    </row>
    <row r="5">
      <c r="A5" s="2" t="inlineStr">
        <is>
          <t>Blue numbers are inputs you can change. Black numbers are formulas — do not type over them.</t>
        </is>
      </c>
    </row>
    <row r="6">
      <c r="A6" s="2" t="inlineStr">
        <is>
          <t>Yellow cells are the two switches that drive everything: the scenario on Scenarios!B3 and the fee</t>
        </is>
      </c>
    </row>
    <row r="7">
      <c r="A7" s="2" t="inlineStr">
        <is>
          <t>architecture on Tiers!B3.</t>
        </is>
      </c>
    </row>
    <row r="8">
      <c r="A8" s="2" t="inlineStr"/>
    </row>
    <row r="9">
      <c r="A9" s="3" t="inlineStr">
        <is>
          <t>THE PROBLEM THIS MODEL WAS BUILT TO ANSWER</t>
        </is>
      </c>
    </row>
    <row r="10">
      <c r="A10" s="2" t="inlineStr">
        <is>
          <t>At $399 per transaction with the listing marketing package included, a listing-side deal costs the</t>
        </is>
      </c>
    </row>
    <row r="11">
      <c r="A11" s="2" t="inlineStr">
        <is>
          <t>brokerage more than it collects. The media package (photography, aerial, edited video, floor plan,</t>
        </is>
      </c>
    </row>
    <row r="12">
      <c r="A12" s="2" t="inlineStr">
        <is>
          <t>flyers, sign, lockbox) is modeled at roughly $500-750 per listing on the Costs tab. The brokerage</t>
        </is>
      </c>
    </row>
    <row r="13">
      <c r="A13" s="2" t="inlineStr">
        <is>
          <t>collects $399. Every listing an agent takes is therefore a loss before a single fixed cost is paid,</t>
        </is>
      </c>
    </row>
    <row r="14">
      <c r="A14" s="2" t="inlineStr">
        <is>
          <t>and the harder an agent works, the more the brokerage loses. That is not a pricing problem at the</t>
        </is>
      </c>
    </row>
    <row r="15">
      <c r="A15" s="2" t="inlineStr">
        <is>
          <t>margin; it is the wrong shape of deal.</t>
        </is>
      </c>
    </row>
    <row r="16">
      <c r="A16" s="2" t="inlineStr"/>
    </row>
    <row r="17">
      <c r="A17" s="2" t="inlineStr">
        <is>
          <t>THREE FEE ARCHITECTURES ARE MODELED (switch on the Tiers tab)</t>
        </is>
      </c>
    </row>
    <row r="18">
      <c r="A18" s="2" t="inlineStr">
        <is>
          <t xml:space="preserve">  A. Flat — the current plan: $399 per transaction, $20 a month, media included. Modeled so you can</t>
        </is>
      </c>
    </row>
    <row r="19">
      <c r="A19" s="2" t="inlineStr">
        <is>
          <t xml:space="preserve">     see the hole rather than take my word for it.</t>
        </is>
      </c>
    </row>
    <row r="20">
      <c r="A20" s="2" t="inlineStr">
        <is>
          <t xml:space="preserve">  B. Tiered — three membership levels. Media moves behind a per-listing credit that rises with tier.</t>
        </is>
      </c>
    </row>
    <row r="21">
      <c r="A21" s="2" t="inlineStr">
        <is>
          <t xml:space="preserve">     An agent who wants the full package pays for access to it through a higher monthly fee.</t>
        </is>
      </c>
    </row>
    <row r="22">
      <c r="A22" s="2" t="inlineStr">
        <is>
          <t xml:space="preserve">  C. Flat, media excluded — keep one simple price, but media is billed to the agent at cost.</t>
        </is>
      </c>
    </row>
    <row r="23">
      <c r="A23" s="2" t="inlineStr">
        <is>
          <t xml:space="preserve">     The simplest fix, and the one that needs the least explanation to a recruit.</t>
        </is>
      </c>
    </row>
    <row r="24">
      <c r="A24" s="2" t="inlineStr"/>
    </row>
    <row r="25">
      <c r="A25" s="3" t="inlineStr">
        <is>
          <t>WHAT THE TABS DO</t>
        </is>
      </c>
    </row>
    <row r="26">
      <c r="A26" s="2" t="inlineStr">
        <is>
          <t xml:space="preserve">  Scenarios       Conservative / Modest / Aggressive growth, and the drivers behind each.</t>
        </is>
      </c>
    </row>
    <row r="27">
      <c r="A27" s="2" t="inlineStr">
        <is>
          <t xml:space="preserve">  Tiers           The fee architecture, what each tier includes, and the cost to serve it.</t>
        </is>
      </c>
    </row>
    <row r="28">
      <c r="A28" s="2" t="inlineStr">
        <is>
          <t xml:space="preserve">  Costs           Fixed monthly stack, per-agent cost, per-transaction cost, media package build-up.</t>
        </is>
      </c>
    </row>
    <row r="29">
      <c r="A29" s="2" t="inlineStr">
        <is>
          <t xml:space="preserve">  P&amp;L             24 months, brokerage only. Agents ramp, revenue, cost, EBITDA, cumulative cash.</t>
        </is>
      </c>
    </row>
    <row r="30">
      <c r="A30" s="2" t="inlineStr">
        <is>
          <t xml:space="preserve">  Unit Economics  Contribution per transaction and per agent. Break-even agent count.</t>
        </is>
      </c>
    </row>
    <row r="31">
      <c r="A31" s="2" t="inlineStr">
        <is>
          <t xml:space="preserve">  Managing Agent  Three ways to pay your mother, what each costs, and what she earns.</t>
        </is>
      </c>
    </row>
    <row r="32">
      <c r="A32" s="2" t="inlineStr">
        <is>
          <t xml:space="preserve">  PM and EV       Property management revenue, and what the two businesses are worth separately.</t>
        </is>
      </c>
    </row>
    <row r="33">
      <c r="A33" s="2" t="inlineStr"/>
    </row>
    <row r="34">
      <c r="A34" s="3" t="inlineStr">
        <is>
          <t>WHAT I COULD NOT KNOW</t>
        </is>
      </c>
    </row>
    <row r="35">
      <c r="A35" s="2" t="inlineStr">
        <is>
          <t>Vendor prices on the Costs tab are market estimates, not quotes. Get real numbers for the CRM,</t>
        </is>
      </c>
    </row>
    <row r="36">
      <c r="A36" s="2" t="inlineStr">
        <is>
          <t>transaction management, and media before you set a price you have to honor for a year. Each is</t>
        </is>
      </c>
    </row>
    <row r="37">
      <c r="A37" s="2" t="inlineStr">
        <is>
          <t>labeled and every one is editable.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 ht="22" customHeight="1">
      <c r="A1" s="1" t="inlineStr">
        <is>
          <t>Scenarios</t>
        </is>
      </c>
    </row>
    <row r="2">
      <c r="A2" s="4" t="inlineStr">
        <is>
          <t>Pick one in B3. Every other tab follows it.</t>
        </is>
      </c>
    </row>
    <row r="3">
      <c r="A3" s="5" t="inlineStr">
        <is>
          <t>Selected scenario</t>
        </is>
      </c>
      <c r="B3" s="6" t="inlineStr">
        <is>
          <t>Modest</t>
        </is>
      </c>
    </row>
    <row r="5" ht="28" customHeight="1">
      <c r="A5" s="7" t="inlineStr">
        <is>
          <t>Driver</t>
        </is>
      </c>
      <c r="B5" s="8" t="inlineStr">
        <is>
          <t>Conservative</t>
        </is>
      </c>
      <c r="C5" s="8" t="inlineStr">
        <is>
          <t>Modest</t>
        </is>
      </c>
      <c r="D5" s="8" t="inlineStr">
        <is>
          <t>Aggressive</t>
        </is>
      </c>
      <c r="E5" s="8" t="inlineStr">
        <is>
          <t>Active</t>
        </is>
      </c>
      <c r="F5" s="8" t="inlineStr">
        <is>
          <t>Note</t>
        </is>
      </c>
    </row>
    <row r="6">
      <c r="A6" s="9" t="inlineStr">
        <is>
          <t>Agents at start (incl. you and your mother)</t>
        </is>
      </c>
      <c r="B6" s="10" t="n">
        <v>2</v>
      </c>
      <c r="C6" s="10" t="n">
        <v>2</v>
      </c>
      <c r="D6" s="10" t="n">
        <v>2</v>
      </c>
      <c r="E6" s="11">
        <f>INDEX(B6:D6,MATCH($B$3,$B$5:$D$5,0))</f>
        <v/>
      </c>
      <c r="F6" s="12" t="inlineStr">
        <is>
          <t>You and your mother on day one.</t>
        </is>
      </c>
    </row>
    <row r="7">
      <c r="A7" s="9" t="inlineStr">
        <is>
          <t>Net new agents per month, months 1-12</t>
        </is>
      </c>
      <c r="B7" s="13" t="n">
        <v>0.5</v>
      </c>
      <c r="C7" s="13" t="n">
        <v>1</v>
      </c>
      <c r="D7" s="13" t="n">
        <v>2</v>
      </c>
      <c r="E7" s="14">
        <f>INDEX(B7:D7,MATCH($B$3,$B$5:$D$5,0))</f>
        <v/>
      </c>
      <c r="F7" s="12" t="inlineStr">
        <is>
          <t>Recruiting is the whole game. 1/mo is a believable pace for a new brokerage with a referral-based pitch.</t>
        </is>
      </c>
    </row>
    <row r="8">
      <c r="A8" s="9" t="inlineStr">
        <is>
          <t>Net new agents per month, months 13-24</t>
        </is>
      </c>
      <c r="B8" s="13" t="n">
        <v>1</v>
      </c>
      <c r="C8" s="13" t="n">
        <v>2</v>
      </c>
      <c r="D8" s="13" t="n">
        <v>3.5</v>
      </c>
      <c r="E8" s="14">
        <f>INDEX(B8:D8,MATCH($B$3,$B$5:$D$5,0))</f>
        <v/>
      </c>
      <c r="F8" s="12" t="inlineStr">
        <is>
          <t>Assumes word of mouth compounds once agents are paid on time.</t>
        </is>
      </c>
    </row>
    <row r="9">
      <c r="A9" s="9" t="inlineStr">
        <is>
          <t>Annual agent attrition</t>
        </is>
      </c>
      <c r="B9" s="15" t="n">
        <v>0.2</v>
      </c>
      <c r="C9" s="15" t="n">
        <v>0.25</v>
      </c>
      <c r="D9" s="15" t="n">
        <v>0.3</v>
      </c>
      <c r="E9" s="16">
        <f>INDEX(B9:D9,MATCH($B$3,$B$5:$D$5,0))</f>
        <v/>
      </c>
      <c r="F9" s="12" t="inlineStr">
        <is>
          <t>Industry churn is high. Faster growth usually means looser screening, so attrition rises with the case.</t>
        </is>
      </c>
    </row>
    <row r="10">
      <c r="A10" s="9" t="inlineStr">
        <is>
          <t>Transactions per agent per month</t>
        </is>
      </c>
      <c r="B10" s="13" t="n">
        <v>0.35</v>
      </c>
      <c r="C10" s="13" t="n">
        <v>0.5</v>
      </c>
      <c r="D10" s="13" t="n">
        <v>0.7</v>
      </c>
      <c r="E10" s="14">
        <f>INDEX(B10:D10,MATCH($B$3,$B$5:$D$5,0))</f>
        <v/>
      </c>
      <c r="F10" s="12" t="inlineStr">
        <is>
          <t>0.5 = six closings a year per agent. The NAR median is in that range; be honest here.</t>
        </is>
      </c>
    </row>
    <row r="11">
      <c r="A11" s="9" t="inlineStr">
        <is>
          <t>Share of transactions that are listing side</t>
        </is>
      </c>
      <c r="B11" s="15" t="n">
        <v>0.35</v>
      </c>
      <c r="C11" s="15" t="n">
        <v>0.45</v>
      </c>
      <c r="D11" s="15" t="n">
        <v>0.55</v>
      </c>
      <c r="E11" s="16">
        <f>INDEX(B11:D11,MATCH($B$3,$B$5:$D$5,0))</f>
        <v/>
      </c>
      <c r="F11" s="12" t="inlineStr">
        <is>
          <t>Listings are the expensive side to serve because of media.</t>
        </is>
      </c>
    </row>
    <row r="12">
      <c r="A12" s="9" t="inlineStr">
        <is>
          <t>Average sale price</t>
        </is>
      </c>
      <c r="B12" s="17" t="n">
        <v>285000</v>
      </c>
      <c r="C12" s="17" t="n">
        <v>310000</v>
      </c>
      <c r="D12" s="17" t="n">
        <v>340000</v>
      </c>
      <c r="E12" s="18">
        <f>INDEX(B12:D12,MATCH($B$3,$B$5:$D$5,0))</f>
        <v/>
      </c>
      <c r="F12" s="12" t="inlineStr">
        <is>
          <t>Hernando County range. Drives the agent's gross, not your fee.</t>
        </is>
      </c>
    </row>
    <row r="13">
      <c r="A13" s="9" t="inlineStr">
        <is>
          <t>Media package attach rate on listings</t>
        </is>
      </c>
      <c r="B13" s="15" t="n">
        <v>1</v>
      </c>
      <c r="C13" s="15" t="n">
        <v>0.85</v>
      </c>
      <c r="D13" s="15" t="n">
        <v>0.75</v>
      </c>
      <c r="E13" s="16">
        <f>INDEX(B13:D13,MATCH($B$3,$B$5:$D$5,0))</f>
        <v/>
      </c>
      <c r="F13" s="12" t="inlineStr">
        <is>
          <t>Not every listing gets the full package; land and teardowns do not need video.</t>
        </is>
      </c>
    </row>
    <row r="14">
      <c r="A14" s="9" t="inlineStr">
        <is>
          <t>Tier mix — Solo</t>
        </is>
      </c>
      <c r="B14" s="15" t="n">
        <v>0.6</v>
      </c>
      <c r="C14" s="15" t="n">
        <v>0.5</v>
      </c>
      <c r="D14" s="15" t="n">
        <v>0.4</v>
      </c>
      <c r="E14" s="16">
        <f>INDEX(B14:D14,MATCH($B$3,$B$5:$D$5,0))</f>
        <v/>
      </c>
      <c r="F14" s="12" t="inlineStr">
        <is>
          <t>Used only when the Tiered architecture is selected.</t>
        </is>
      </c>
    </row>
    <row r="15">
      <c r="A15" s="9" t="inlineStr">
        <is>
          <t>Tier mix — Pro</t>
        </is>
      </c>
      <c r="B15" s="15" t="n">
        <v>0.3</v>
      </c>
      <c r="C15" s="15" t="n">
        <v>0.35</v>
      </c>
      <c r="D15" s="15" t="n">
        <v>0.4</v>
      </c>
      <c r="E15" s="16">
        <f>INDEX(B15:D15,MATCH($B$3,$B$5:$D$5,0))</f>
        <v/>
      </c>
      <c r="F15" s="12" t="inlineStr"/>
    </row>
    <row r="16">
      <c r="A16" s="9" t="inlineStr">
        <is>
          <t>Tier mix — Premier</t>
        </is>
      </c>
      <c r="B16" s="15" t="n">
        <v>0.1</v>
      </c>
      <c r="C16" s="15" t="n">
        <v>0.15</v>
      </c>
      <c r="D16" s="15" t="n">
        <v>0.2</v>
      </c>
      <c r="E16" s="16">
        <f>INDEX(B16:D16,MATCH($B$3,$B$5:$D$5,0))</f>
        <v/>
      </c>
      <c r="F16" s="12" t="inlineStr"/>
    </row>
    <row r="17">
      <c r="A17" s="9" t="inlineStr">
        <is>
          <t>PM doors at start</t>
        </is>
      </c>
      <c r="B17" s="10" t="n">
        <v>3</v>
      </c>
      <c r="C17" s="10" t="n">
        <v>5</v>
      </c>
      <c r="D17" s="10" t="n">
        <v>8</v>
      </c>
      <c r="E17" s="11">
        <f>INDEX(B17:D17,MATCH($B$3,$B$5:$D$5,0))</f>
        <v/>
      </c>
      <c r="F17" s="12" t="inlineStr">
        <is>
          <t>Units under management today.</t>
        </is>
      </c>
    </row>
    <row r="18">
      <c r="A18" s="9" t="inlineStr">
        <is>
          <t>PM doors added per month</t>
        </is>
      </c>
      <c r="B18" s="13" t="n">
        <v>1</v>
      </c>
      <c r="C18" s="13" t="n">
        <v>2</v>
      </c>
      <c r="D18" s="13" t="n">
        <v>3.5</v>
      </c>
      <c r="E18" s="14">
        <f>INDEX(B18:D18,MATCH($B$3,$B$5:$D$5,0))</f>
        <v/>
      </c>
      <c r="F18" s="12" t="inlineStr">
        <is>
          <t>The property management book is the asset. See PM and EV.</t>
        </is>
      </c>
    </row>
    <row r="19">
      <c r="A19" s="9" t="inlineStr">
        <is>
          <t>PM monthly fee per door</t>
        </is>
      </c>
      <c r="B19" s="17" t="n">
        <v>129</v>
      </c>
      <c r="C19" s="17" t="n">
        <v>149</v>
      </c>
      <c r="D19" s="17" t="n">
        <v>169</v>
      </c>
      <c r="E19" s="18">
        <f>INDEX(B19:D19,MATCH($B$3,$B$5:$D$5,0))</f>
        <v/>
      </c>
      <c r="F19" s="12" t="inlineStr">
        <is>
          <t>Blended across Essential/Plus/Premier.</t>
        </is>
      </c>
    </row>
    <row r="21">
      <c r="A21" s="12" t="inlineStr">
        <is>
          <t>Tier mix must total 100%</t>
        </is>
      </c>
      <c r="E21" s="16">
        <f>SUM(E14:E16)</f>
        <v/>
      </c>
    </row>
  </sheetData>
  <dataValidations count="1">
    <dataValidation sqref="B3" showDropDown="0" showInputMessage="0" showErrorMessage="0" allowBlank="0" type="list">
      <formula1>"Conservative,Modest,Aggressive"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 ht="22" customHeight="1">
      <c r="A1" s="1" t="inlineStr">
        <is>
          <t>Fee architecture</t>
        </is>
      </c>
    </row>
    <row r="2">
      <c r="A2" s="4" t="inlineStr">
        <is>
          <t>Switch architectures in B3. The tier table below drives the Tiered case.</t>
        </is>
      </c>
    </row>
    <row r="3">
      <c r="A3" s="5" t="inlineStr">
        <is>
          <t>Selected architecture</t>
        </is>
      </c>
      <c r="B3" s="6" t="inlineStr">
        <is>
          <t>B. Tiered</t>
        </is>
      </c>
    </row>
    <row r="5" ht="28" customHeight="1">
      <c r="A5" s="7" t="inlineStr">
        <is>
          <t>Tier</t>
        </is>
      </c>
      <c r="B5" s="8" t="inlineStr">
        <is>
          <t>Solo</t>
        </is>
      </c>
      <c r="C5" s="8" t="inlineStr">
        <is>
          <t>Pro</t>
        </is>
      </c>
      <c r="D5" s="8" t="inlineStr">
        <is>
          <t>Premier</t>
        </is>
      </c>
      <c r="E5" s="8" t="inlineStr">
        <is>
          <t>What it is</t>
        </is>
      </c>
    </row>
    <row r="6">
      <c r="A6" s="9" t="inlineStr">
        <is>
          <t>Monthly fee</t>
        </is>
      </c>
      <c r="B6" s="17" t="n">
        <v>29</v>
      </c>
      <c r="C6" s="17" t="n">
        <v>99</v>
      </c>
      <c r="D6" s="17" t="n">
        <v>299</v>
      </c>
      <c r="E6" s="12" t="inlineStr">
        <is>
          <t>Covers the seat: compliance, escrow, supervision, e-signature, transaction management.</t>
        </is>
      </c>
    </row>
    <row r="7">
      <c r="A7" s="9" t="inlineStr">
        <is>
          <t>Transaction fee</t>
        </is>
      </c>
      <c r="B7" s="17" t="n">
        <v>495</v>
      </c>
      <c r="C7" s="17" t="n">
        <v>425</v>
      </c>
      <c r="D7" s="17" t="n">
        <v>350</v>
      </c>
      <c r="E7" s="12" t="inlineStr">
        <is>
          <t>Falls as the monthly rises. An agent who closes a lot should prefer Premier; that is the point.</t>
        </is>
      </c>
    </row>
    <row r="8">
      <c r="A8" s="9" t="inlineStr">
        <is>
          <t>Media credit per listing</t>
        </is>
      </c>
      <c r="B8" s="17" t="n">
        <v>0</v>
      </c>
      <c r="C8" s="17" t="n">
        <v>300</v>
      </c>
      <c r="D8" s="17" t="n">
        <v>500</v>
      </c>
      <c r="E8" s="12" t="inlineStr">
        <is>
          <t>What the brokerage funds toward the listing media package. Agent pays any excess.</t>
        </is>
      </c>
    </row>
    <row r="9">
      <c r="A9" s="9" t="inlineStr">
        <is>
          <t>CRM seat included</t>
        </is>
      </c>
      <c r="B9" s="10" t="n">
        <v>0</v>
      </c>
      <c r="C9" s="10" t="n">
        <v>1</v>
      </c>
      <c r="D9" s="10" t="n">
        <v>1</v>
      </c>
      <c r="E9" s="12" t="inlineStr">
        <is>
          <t>1 = yes. Cost per seat is on the Costs tab.</t>
        </is>
      </c>
    </row>
    <row r="10">
      <c r="A10" s="9" t="inlineStr">
        <is>
          <t>Transaction coordination included</t>
        </is>
      </c>
      <c r="B10" s="10" t="n">
        <v>0</v>
      </c>
      <c r="C10" s="10" t="n">
        <v>0</v>
      </c>
      <c r="D10" s="10" t="n">
        <v>0</v>
      </c>
      <c r="E10" s="12" t="inlineStr">
        <is>
          <t>1 = yes. Left at 0 on every tier: a $325 coordinator inside a $350 transaction fee erases the fee. Sell it as a $395 add-on instead.</t>
        </is>
      </c>
    </row>
    <row r="12">
      <c r="A12" s="19" t="inlineStr">
        <is>
          <t>Flat architectures (A and C)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>
      <c r="A13" s="9" t="inlineStr">
        <is>
          <t>Flat monthly fee</t>
        </is>
      </c>
      <c r="B13" s="17" t="n">
        <v>20</v>
      </c>
      <c r="E13" s="12" t="inlineStr">
        <is>
          <t>Your current plan.</t>
        </is>
      </c>
    </row>
    <row r="14">
      <c r="A14" s="9" t="inlineStr">
        <is>
          <t>Flat transaction fee</t>
        </is>
      </c>
      <c r="B14" s="17" t="n">
        <v>399</v>
      </c>
      <c r="E14" s="12" t="inlineStr">
        <is>
          <t>Your current plan.</t>
        </is>
      </c>
    </row>
    <row r="15">
      <c r="A15" s="9" t="inlineStr">
        <is>
          <t>Media credit per listing — A</t>
        </is>
      </c>
      <c r="B15" s="17" t="n">
        <v>750</v>
      </c>
      <c r="E15" s="12" t="inlineStr">
        <is>
          <t>Architecture A includes the full package, so the brokerage funds all of it.</t>
        </is>
      </c>
    </row>
    <row r="16">
      <c r="A16" s="9" t="inlineStr">
        <is>
          <t>Media credit per listing — C</t>
        </is>
      </c>
      <c r="B16" s="17" t="n">
        <v>0</v>
      </c>
      <c r="E16" s="12" t="inlineStr">
        <is>
          <t>Architecture C bills media to the agent at cost. Same $399, no hole.</t>
        </is>
      </c>
    </row>
    <row r="17">
      <c r="A17" s="9" t="inlineStr">
        <is>
          <t>Monthly fee — D (in-house media)</t>
        </is>
      </c>
      <c r="B17" s="17" t="n">
        <v>99</v>
      </c>
      <c r="E17" s="12" t="inlineStr">
        <is>
          <t>The per-seat tech stack costs about $83 a month. A $20 fee cannot cover it; this one can.</t>
        </is>
      </c>
    </row>
    <row r="18">
      <c r="A18" s="9" t="inlineStr">
        <is>
          <t>Transaction fee — D</t>
        </is>
      </c>
      <c r="B18" s="17" t="n">
        <v>399</v>
      </c>
      <c r="E18" s="12" t="inlineStr">
        <is>
          <t>Your number, kept.</t>
        </is>
      </c>
    </row>
    <row r="20">
      <c r="A20" s="19" t="inlineStr">
        <is>
          <t>Blended economics at the selected architecture and scenario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</row>
    <row r="21">
      <c r="A21" s="9" t="inlineStr">
        <is>
          <t>Blended monthly fee per agent</t>
        </is>
      </c>
      <c r="B21" s="21">
        <f>IF($B$3="B. Tiered",B6*Scenarios!$E$14+C6*Scenarios!$E$15+D6*Scenarios!$E$16,IF($B$3="D. In-house media",B17,B13))</f>
        <v/>
      </c>
    </row>
    <row r="22">
      <c r="A22" s="9" t="inlineStr">
        <is>
          <t>Blended transaction fee</t>
        </is>
      </c>
      <c r="B22" s="21">
        <f>IF($B$3="B. Tiered",B7*Scenarios!$E$14+C7*Scenarios!$E$15+D7*Scenarios!$E$16,IF($B$3="D. In-house media",B18,B14))</f>
        <v/>
      </c>
    </row>
    <row r="23">
      <c r="A23" s="9" t="inlineStr">
        <is>
          <t>Blended media credit per listing</t>
        </is>
      </c>
      <c r="B23" s="21">
        <f>IF($B$3="B. Tiered",B8*Scenarios!$E$14+C8*Scenarios!$E$15+D8*Scenarios!$E$16,IF(OR($B$3="A. Flat (current)",$B$3="D. In-house media"),B15,B16))</f>
        <v/>
      </c>
    </row>
    <row r="24">
      <c r="A24" s="9" t="inlineStr">
        <is>
          <t>Share of agents with CRM seat included</t>
        </is>
      </c>
      <c r="B24" s="16">
        <f>IF($B$3="B. Tiered",C9*Scenarios!$E$15+D9*Scenarios!$E$16,1)</f>
        <v/>
      </c>
    </row>
    <row r="25">
      <c r="A25" s="9" t="inlineStr">
        <is>
          <t>Share of transactions with TC included</t>
        </is>
      </c>
      <c r="B25" s="16">
        <f>IF($B$3="B. Tiered",D10*Scenarios!$E$16,0)</f>
        <v/>
      </c>
    </row>
  </sheetData>
  <dataValidations count="1">
    <dataValidation sqref="B3" showDropDown="0" showInputMessage="0" showErrorMessage="0" allowBlank="0" type="list">
      <formula1>"A. Flat (current),B. Tiered,C. Flat media excluded,D. In-house media"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</cols>
  <sheetData>
    <row r="1" ht="22" customHeight="1">
      <c r="A1" s="1" t="inlineStr">
        <is>
          <t>Cost build-up</t>
        </is>
      </c>
    </row>
    <row r="2">
      <c r="A2" s="4" t="inlineStr">
        <is>
          <t>Market estimates, not quotes. Replace with real numbers before you commit to a price.</t>
        </is>
      </c>
    </row>
    <row r="3">
      <c r="A3" s="19" t="inlineStr">
        <is>
          <t>Listing media package — per listing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</row>
    <row r="4">
      <c r="A4" s="9" t="inlineStr">
        <is>
          <t>Professional photography</t>
        </is>
      </c>
      <c r="B4" s="17" t="n">
        <v>175</v>
      </c>
      <c r="C4" s="12" t="inlineStr">
        <is>
          <t>Local real estate shooter, 30-40 images.</t>
        </is>
      </c>
    </row>
    <row r="5">
      <c r="A5" s="9" t="inlineStr">
        <is>
          <t>Aerial photos and video</t>
        </is>
      </c>
      <c r="B5" s="17" t="n">
        <v>125</v>
      </c>
      <c r="C5" s="12" t="inlineStr">
        <is>
          <t>Requires an FAA Part 107 pilot. Your cost if you hire one; near zero if you certify yourself.</t>
        </is>
      </c>
    </row>
    <row r="6">
      <c r="A6" s="9" t="inlineStr">
        <is>
          <t>Edited listing video</t>
        </is>
      </c>
      <c r="B6" s="17" t="n">
        <v>200</v>
      </c>
      <c r="C6" s="12" t="inlineStr">
        <is>
          <t>Walkthrough, cut for social.</t>
        </is>
      </c>
    </row>
    <row r="7">
      <c r="A7" s="9" t="inlineStr">
        <is>
          <t>Floor plan</t>
        </is>
      </c>
      <c r="B7" s="17" t="n">
        <v>75</v>
      </c>
      <c r="C7" s="12" t="inlineStr">
        <is>
          <t>Usually bundled with the photo shoot.</t>
        </is>
      </c>
    </row>
    <row r="8">
      <c r="A8" s="9" t="inlineStr">
        <is>
          <t>Printed flyers and brochures</t>
        </is>
      </c>
      <c r="B8" s="17" t="n">
        <v>60</v>
      </c>
      <c r="C8" s="12" t="inlineStr">
        <is>
          <t>Short run, per listing.</t>
        </is>
      </c>
    </row>
    <row r="9">
      <c r="A9" s="9" t="inlineStr">
        <is>
          <t>Yard sign and install</t>
        </is>
      </c>
      <c r="B9" s="17" t="n">
        <v>60</v>
      </c>
      <c r="C9" s="12" t="inlineStr">
        <is>
          <t>Amortized over roughly 4 listings per sign.</t>
        </is>
      </c>
    </row>
    <row r="10">
      <c r="A10" s="9" t="inlineStr">
        <is>
          <t>Lockbox</t>
        </is>
      </c>
      <c r="B10" s="17" t="n">
        <v>25</v>
      </c>
      <c r="C10" s="12" t="inlineStr">
        <is>
          <t>Amortized. Electronic boxes run $100-150 and last years.</t>
        </is>
      </c>
    </row>
    <row r="11">
      <c r="A11" s="5" t="inlineStr">
        <is>
          <t>Total media package per listing</t>
        </is>
      </c>
      <c r="B11" s="18">
        <f>SUM(B4:B10)</f>
        <v/>
      </c>
      <c r="C11" s="12" t="inlineStr">
        <is>
          <t>This is the number that breaks a $399 flat fee.</t>
        </is>
      </c>
    </row>
    <row r="13">
      <c r="A13" s="19" t="inlineStr">
        <is>
          <t>In-house media — you shoot it yourself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>
      <c r="A14" s="9" t="inlineStr">
        <is>
          <t>Editing, per listing</t>
        </is>
      </c>
      <c r="B14" s="17" t="n">
        <v>65</v>
      </c>
      <c r="C14" s="12" t="inlineStr">
        <is>
          <t>Your quoted editor rate for photos and video.</t>
        </is>
      </c>
    </row>
    <row r="15">
      <c r="A15" s="9" t="inlineStr">
        <is>
          <t>Printed flyers and brochures</t>
        </is>
      </c>
      <c r="B15" s="17" t="n">
        <v>60</v>
      </c>
      <c r="C15" s="12" t="inlineStr">
        <is>
          <t>Still a print cost whoever shoots it.</t>
        </is>
      </c>
    </row>
    <row r="16">
      <c r="A16" s="9" t="inlineStr">
        <is>
          <t>Yard sign and lockbox, amortized</t>
        </is>
      </c>
      <c r="B16" s="17" t="n">
        <v>85</v>
      </c>
      <c r="C16" s="12" t="inlineStr">
        <is>
          <t>Unchanged — you are not shooting these.</t>
        </is>
      </c>
    </row>
    <row r="17">
      <c r="A17" s="9" t="inlineStr">
        <is>
          <t>Your hours per listing</t>
        </is>
      </c>
      <c r="B17" s="13" t="n">
        <v>2.5</v>
      </c>
      <c r="C17" s="12" t="inlineStr">
        <is>
          <t>Drive, shoot interior and exterior, fly the drone, upload, review the edit.</t>
        </is>
      </c>
    </row>
    <row r="18">
      <c r="A18" s="9" t="inlineStr">
        <is>
          <t>Value of your hour</t>
        </is>
      </c>
      <c r="B18" s="17" t="n">
        <v>75</v>
      </c>
      <c r="C18" s="12" t="inlineStr">
        <is>
          <t>What an hour of your time is worth doing the next best thing: recruiting an agent or signing a door.</t>
        </is>
      </c>
    </row>
    <row r="19">
      <c r="A19" s="5" t="inlineStr">
        <is>
          <t>In-house media, cash cost per listing</t>
        </is>
      </c>
      <c r="B19" s="18">
        <f>SUM(B14:B16)</f>
        <v/>
      </c>
      <c r="C19" s="12" t="inlineStr">
        <is>
          <t>What actually leaves the bank account.</t>
        </is>
      </c>
    </row>
    <row r="20">
      <c r="A20" s="5" t="inlineStr">
        <is>
          <t>In-house media, loaded cost per listing</t>
        </is>
      </c>
      <c r="B20" s="18">
        <f>B19+B17*B18</f>
        <v/>
      </c>
      <c r="C20" s="12" t="inlineStr">
        <is>
          <t>Cash plus your time. This is the honest number to price against.</t>
        </is>
      </c>
    </row>
    <row r="21">
      <c r="A21" s="9" t="inlineStr">
        <is>
          <t>Listings you can personally shoot per month</t>
        </is>
      </c>
      <c r="B21" s="13" t="n">
        <v>10</v>
      </c>
      <c r="C21" s="12" t="inlineStr">
        <is>
          <t>Above this, you outsource the overflow at the full package price — or stop taking listings.</t>
        </is>
      </c>
    </row>
    <row r="22">
      <c r="A22" s="9" t="inlineStr">
        <is>
          <t>Count your time as a cost?</t>
        </is>
      </c>
      <c r="B22" s="10" t="n">
        <v>1</v>
      </c>
      <c r="C22" s="12" t="inlineStr">
        <is>
          <t>1 = yes (recommended). 0 = treat your labor as free and see the flattering version.</t>
        </is>
      </c>
    </row>
    <row r="23">
      <c r="A23" s="5" t="inlineStr">
        <is>
          <t>Active media cost per listing</t>
        </is>
      </c>
      <c r="B23" s="18">
        <f>IF(Tiers!$B$3="D. In-house media",IF(Costs!$B$22=1,Costs!$B$20,Costs!$B$19),Costs!$B$11)</f>
        <v/>
      </c>
      <c r="C23" s="12" t="inlineStr">
        <is>
          <t>What the P&amp;L and unit economics use.</t>
        </is>
      </c>
    </row>
    <row r="25">
      <c r="A25" s="19" t="inlineStr">
        <is>
          <t>Fixed monthly — the brokerage exists whether or not anyone closes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</row>
    <row r="26">
      <c r="A26" s="9" t="inlineStr">
        <is>
          <t>Brokerage E&amp;O policy</t>
        </is>
      </c>
      <c r="B26" s="17" t="n">
        <v>150</v>
      </c>
      <c r="C26" s="12" t="inlineStr">
        <is>
          <t>Firm policy. Agents carry their own on top.</t>
        </is>
      </c>
    </row>
    <row r="27">
      <c r="A27" s="9" t="inlineStr">
        <is>
          <t>General liability</t>
        </is>
      </c>
      <c r="B27" s="17" t="n">
        <v>45</v>
      </c>
      <c r="C27" s="12" t="inlineStr"/>
    </row>
    <row r="28">
      <c r="A28" s="9" t="inlineStr">
        <is>
          <t>Broker association and MLS dues</t>
        </is>
      </c>
      <c r="B28" s="17" t="n">
        <v>85</v>
      </c>
      <c r="C28" s="12" t="inlineStr">
        <is>
          <t>Your own dues, annualized to a month.</t>
        </is>
      </c>
    </row>
    <row r="29">
      <c r="A29" s="9" t="inlineStr">
        <is>
          <t>Website, hosting, domain, email</t>
        </is>
      </c>
      <c r="B29" s="17" t="n">
        <v>35</v>
      </c>
      <c r="C29" s="12" t="inlineStr"/>
    </row>
    <row r="30">
      <c r="A30" s="9" t="inlineStr">
        <is>
          <t>Transaction management platform</t>
        </is>
      </c>
      <c r="B30" s="17" t="n">
        <v>85</v>
      </c>
      <c r="C30" s="12" t="inlineStr">
        <is>
          <t>Base tier for a small firm.</t>
        </is>
      </c>
    </row>
    <row r="31">
      <c r="A31" s="9" t="inlineStr">
        <is>
          <t>E-signature</t>
        </is>
      </c>
      <c r="B31" s="17" t="n">
        <v>45</v>
      </c>
      <c r="C31" s="12" t="inlineStr">
        <is>
          <t>DocuSign Business Pro is about $45/user/month annually — needed for PowerForms.</t>
        </is>
      </c>
    </row>
    <row r="32">
      <c r="A32" s="9" t="inlineStr">
        <is>
          <t>Accounting and bookkeeping</t>
        </is>
      </c>
      <c r="B32" s="17" t="n">
        <v>250</v>
      </c>
      <c r="C32" s="12" t="inlineStr">
        <is>
          <t>Trust accounting is not a DIY job once agents are closing.</t>
        </is>
      </c>
    </row>
    <row r="33">
      <c r="A33" s="9" t="inlineStr">
        <is>
          <t>Legal and compliance retainer</t>
        </is>
      </c>
      <c r="B33" s="17" t="n">
        <v>125</v>
      </c>
      <c r="C33" s="12" t="inlineStr">
        <is>
          <t>Annual attorney review amortized.</t>
        </is>
      </c>
    </row>
    <row r="34">
      <c r="A34" s="9" t="inlineStr">
        <is>
          <t>Phone system and call routing</t>
        </is>
      </c>
      <c r="B34" s="17" t="n">
        <v>35</v>
      </c>
      <c r="C34" s="12" t="inlineStr"/>
    </row>
    <row r="35">
      <c r="A35" s="9" t="inlineStr">
        <is>
          <t>Banking, escrow account fees, software</t>
        </is>
      </c>
      <c r="B35" s="17" t="n">
        <v>40</v>
      </c>
      <c r="C35" s="12" t="inlineStr"/>
    </row>
    <row r="36">
      <c r="A36" s="9" t="inlineStr">
        <is>
          <t>Marketing and recruiting spend</t>
        </is>
      </c>
      <c r="B36" s="17" t="n">
        <v>200</v>
      </c>
      <c r="C36" s="12" t="inlineStr">
        <is>
          <t>Cards, cap hats, event table fees, boosted posts.</t>
        </is>
      </c>
    </row>
    <row r="37">
      <c r="A37" s="5" t="inlineStr">
        <is>
          <t>Total fixed monthly</t>
        </is>
      </c>
      <c r="B37" s="18">
        <f>SUM(B26:B36)</f>
        <v/>
      </c>
    </row>
    <row r="39">
      <c r="A39" s="19" t="inlineStr">
        <is>
          <t>Per agent, per month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</row>
    <row r="40">
      <c r="A40" s="9" t="inlineStr">
        <is>
          <t>CRM seat</t>
        </is>
      </c>
      <c r="B40" s="17" t="n">
        <v>65</v>
      </c>
      <c r="C40" s="12" t="inlineStr">
        <is>
          <t>Follow Up Boss class tool. Only charged for tiers that include it.</t>
        </is>
      </c>
    </row>
    <row r="41">
      <c r="A41" s="9" t="inlineStr">
        <is>
          <t>Email, storage, phone line</t>
        </is>
      </c>
      <c r="B41" s="17" t="n">
        <v>18</v>
      </c>
      <c r="C41" s="12" t="inlineStr">
        <is>
          <t>Charged for every agent.</t>
        </is>
      </c>
    </row>
    <row r="43">
      <c r="A43" s="19" t="inlineStr">
        <is>
          <t>Per transaction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</row>
    <row r="44">
      <c r="A44" s="9" t="inlineStr">
        <is>
          <t>Compliance review and file handling</t>
        </is>
      </c>
      <c r="B44" s="17" t="n">
        <v>35</v>
      </c>
      <c r="C44" s="12" t="inlineStr">
        <is>
          <t>Your time, costed. It is not free just because you do it.</t>
        </is>
      </c>
    </row>
    <row r="45">
      <c r="A45" s="9" t="inlineStr">
        <is>
          <t>Disbursement and banking</t>
        </is>
      </c>
      <c r="B45" s="17" t="n">
        <v>8</v>
      </c>
      <c r="C45" s="12" t="inlineStr"/>
    </row>
    <row r="46">
      <c r="A46" s="9" t="inlineStr">
        <is>
          <t>Transaction coordination, when included</t>
        </is>
      </c>
      <c r="B46" s="17" t="n">
        <v>325</v>
      </c>
      <c r="C46" s="12" t="inlineStr">
        <is>
          <t>Outsourced TC per file. Only for tiers that include 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</cols>
  <sheetData>
    <row r="1" ht="22" customHeight="1">
      <c r="A1" s="1" t="inlineStr">
        <is>
          <t>Brokerage P&amp;L — 24 months</t>
        </is>
      </c>
    </row>
    <row r="2">
      <c r="A2" s="4" t="inlineStr">
        <is>
          <t>Brokerage only. Property management is modeled separately on PM and EV.</t>
        </is>
      </c>
    </row>
    <row r="4">
      <c r="A4" s="5" t="inlineStr">
        <is>
          <t>Month</t>
        </is>
      </c>
      <c r="B4" s="22" t="n">
        <v>1</v>
      </c>
      <c r="C4" s="22" t="n">
        <v>2</v>
      </c>
      <c r="D4" s="22" t="n">
        <v>3</v>
      </c>
      <c r="E4" s="22" t="n">
        <v>4</v>
      </c>
      <c r="F4" s="22" t="n">
        <v>5</v>
      </c>
      <c r="G4" s="22" t="n">
        <v>6</v>
      </c>
      <c r="H4" s="22" t="n">
        <v>7</v>
      </c>
      <c r="I4" s="22" t="n">
        <v>8</v>
      </c>
      <c r="J4" s="22" t="n">
        <v>9</v>
      </c>
      <c r="K4" s="22" t="n">
        <v>10</v>
      </c>
      <c r="L4" s="22" t="n">
        <v>11</v>
      </c>
      <c r="M4" s="22" t="n">
        <v>12</v>
      </c>
      <c r="N4" s="22" t="n">
        <v>13</v>
      </c>
      <c r="O4" s="22" t="n">
        <v>14</v>
      </c>
      <c r="P4" s="22" t="n">
        <v>15</v>
      </c>
      <c r="Q4" s="22" t="n">
        <v>16</v>
      </c>
      <c r="R4" s="22" t="n">
        <v>17</v>
      </c>
      <c r="S4" s="22" t="n">
        <v>18</v>
      </c>
      <c r="T4" s="22" t="n">
        <v>19</v>
      </c>
      <c r="U4" s="22" t="n">
        <v>20</v>
      </c>
      <c r="V4" s="22" t="n">
        <v>21</v>
      </c>
      <c r="W4" s="22" t="n">
        <v>22</v>
      </c>
      <c r="X4" s="22" t="n">
        <v>23</v>
      </c>
      <c r="Y4" s="22" t="n">
        <v>24</v>
      </c>
      <c r="Z4" s="23" t="inlineStr">
        <is>
          <t>Year 1 + 2</t>
        </is>
      </c>
    </row>
    <row r="5">
      <c r="A5" s="19" t="inlineStr">
        <is>
          <t>Agents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</row>
    <row r="6">
      <c r="A6" s="9" t="inlineStr">
        <is>
          <t>Agents, start of month</t>
        </is>
      </c>
      <c r="B6" s="24">
        <f>Scenarios!$E$6</f>
        <v/>
      </c>
      <c r="C6" s="24">
        <f>B7</f>
        <v/>
      </c>
      <c r="D6" s="24">
        <f>C7</f>
        <v/>
      </c>
      <c r="E6" s="24">
        <f>D7</f>
        <v/>
      </c>
      <c r="F6" s="24">
        <f>E7</f>
        <v/>
      </c>
      <c r="G6" s="24">
        <f>F7</f>
        <v/>
      </c>
      <c r="H6" s="24">
        <f>G7</f>
        <v/>
      </c>
      <c r="I6" s="24">
        <f>H7</f>
        <v/>
      </c>
      <c r="J6" s="24">
        <f>I7</f>
        <v/>
      </c>
      <c r="K6" s="24">
        <f>J7</f>
        <v/>
      </c>
      <c r="L6" s="24">
        <f>K7</f>
        <v/>
      </c>
      <c r="M6" s="24">
        <f>L7</f>
        <v/>
      </c>
      <c r="N6" s="24">
        <f>M7</f>
        <v/>
      </c>
      <c r="O6" s="24">
        <f>N7</f>
        <v/>
      </c>
      <c r="P6" s="24">
        <f>O7</f>
        <v/>
      </c>
      <c r="Q6" s="24">
        <f>P7</f>
        <v/>
      </c>
      <c r="R6" s="24">
        <f>Q7</f>
        <v/>
      </c>
      <c r="S6" s="24">
        <f>R7</f>
        <v/>
      </c>
      <c r="T6" s="24">
        <f>S7</f>
        <v/>
      </c>
      <c r="U6" s="24">
        <f>T7</f>
        <v/>
      </c>
      <c r="V6" s="24">
        <f>U7</f>
        <v/>
      </c>
      <c r="W6" s="24">
        <f>V7</f>
        <v/>
      </c>
      <c r="X6" s="24">
        <f>W7</f>
        <v/>
      </c>
      <c r="Y6" s="24">
        <f>X7</f>
        <v/>
      </c>
    </row>
    <row r="7">
      <c r="A7" s="9" t="inlineStr">
        <is>
          <t>Agents, end of month</t>
        </is>
      </c>
      <c r="B7" s="24">
        <f>MAX(0,B6+IF(1&lt;=12,Scenarios!$E$7,Scenarios!$E$8)-B6*Scenarios!$E$9/12)</f>
        <v/>
      </c>
      <c r="C7" s="24">
        <f>MAX(0,C6+IF(2&lt;=12,Scenarios!$E$7,Scenarios!$E$8)-C6*Scenarios!$E$9/12)</f>
        <v/>
      </c>
      <c r="D7" s="24">
        <f>MAX(0,D6+IF(3&lt;=12,Scenarios!$E$7,Scenarios!$E$8)-D6*Scenarios!$E$9/12)</f>
        <v/>
      </c>
      <c r="E7" s="24">
        <f>MAX(0,E6+IF(4&lt;=12,Scenarios!$E$7,Scenarios!$E$8)-E6*Scenarios!$E$9/12)</f>
        <v/>
      </c>
      <c r="F7" s="24">
        <f>MAX(0,F6+IF(5&lt;=12,Scenarios!$E$7,Scenarios!$E$8)-F6*Scenarios!$E$9/12)</f>
        <v/>
      </c>
      <c r="G7" s="24">
        <f>MAX(0,G6+IF(6&lt;=12,Scenarios!$E$7,Scenarios!$E$8)-G6*Scenarios!$E$9/12)</f>
        <v/>
      </c>
      <c r="H7" s="24">
        <f>MAX(0,H6+IF(7&lt;=12,Scenarios!$E$7,Scenarios!$E$8)-H6*Scenarios!$E$9/12)</f>
        <v/>
      </c>
      <c r="I7" s="24">
        <f>MAX(0,I6+IF(8&lt;=12,Scenarios!$E$7,Scenarios!$E$8)-I6*Scenarios!$E$9/12)</f>
        <v/>
      </c>
      <c r="J7" s="24">
        <f>MAX(0,J6+IF(9&lt;=12,Scenarios!$E$7,Scenarios!$E$8)-J6*Scenarios!$E$9/12)</f>
        <v/>
      </c>
      <c r="K7" s="24">
        <f>MAX(0,K6+IF(10&lt;=12,Scenarios!$E$7,Scenarios!$E$8)-K6*Scenarios!$E$9/12)</f>
        <v/>
      </c>
      <c r="L7" s="24">
        <f>MAX(0,L6+IF(11&lt;=12,Scenarios!$E$7,Scenarios!$E$8)-L6*Scenarios!$E$9/12)</f>
        <v/>
      </c>
      <c r="M7" s="24">
        <f>MAX(0,M6+IF(12&lt;=12,Scenarios!$E$7,Scenarios!$E$8)-M6*Scenarios!$E$9/12)</f>
        <v/>
      </c>
      <c r="N7" s="24">
        <f>MAX(0,N6+IF(13&lt;=12,Scenarios!$E$7,Scenarios!$E$8)-N6*Scenarios!$E$9/12)</f>
        <v/>
      </c>
      <c r="O7" s="24">
        <f>MAX(0,O6+IF(14&lt;=12,Scenarios!$E$7,Scenarios!$E$8)-O6*Scenarios!$E$9/12)</f>
        <v/>
      </c>
      <c r="P7" s="24">
        <f>MAX(0,P6+IF(15&lt;=12,Scenarios!$E$7,Scenarios!$E$8)-P6*Scenarios!$E$9/12)</f>
        <v/>
      </c>
      <c r="Q7" s="24">
        <f>MAX(0,Q6+IF(16&lt;=12,Scenarios!$E$7,Scenarios!$E$8)-Q6*Scenarios!$E$9/12)</f>
        <v/>
      </c>
      <c r="R7" s="24">
        <f>MAX(0,R6+IF(17&lt;=12,Scenarios!$E$7,Scenarios!$E$8)-R6*Scenarios!$E$9/12)</f>
        <v/>
      </c>
      <c r="S7" s="24">
        <f>MAX(0,S6+IF(18&lt;=12,Scenarios!$E$7,Scenarios!$E$8)-S6*Scenarios!$E$9/12)</f>
        <v/>
      </c>
      <c r="T7" s="24">
        <f>MAX(0,T6+IF(19&lt;=12,Scenarios!$E$7,Scenarios!$E$8)-T6*Scenarios!$E$9/12)</f>
        <v/>
      </c>
      <c r="U7" s="24">
        <f>MAX(0,U6+IF(20&lt;=12,Scenarios!$E$7,Scenarios!$E$8)-U6*Scenarios!$E$9/12)</f>
        <v/>
      </c>
      <c r="V7" s="24">
        <f>MAX(0,V6+IF(21&lt;=12,Scenarios!$E$7,Scenarios!$E$8)-V6*Scenarios!$E$9/12)</f>
        <v/>
      </c>
      <c r="W7" s="24">
        <f>MAX(0,W6+IF(22&lt;=12,Scenarios!$E$7,Scenarios!$E$8)-W6*Scenarios!$E$9/12)</f>
        <v/>
      </c>
      <c r="X7" s="24">
        <f>MAX(0,X6+IF(23&lt;=12,Scenarios!$E$7,Scenarios!$E$8)-X6*Scenarios!$E$9/12)</f>
        <v/>
      </c>
      <c r="Y7" s="24">
        <f>MAX(0,Y6+IF(24&lt;=12,Scenarios!$E$7,Scenarios!$E$8)-Y6*Scenarios!$E$9/12)</f>
        <v/>
      </c>
      <c r="Z7" s="14">
        <f>Y7</f>
        <v/>
      </c>
    </row>
    <row r="8">
      <c r="A8" s="9" t="inlineStr">
        <is>
          <t>Transactions closed</t>
        </is>
      </c>
      <c r="B8" s="24">
        <f>B7*Scenarios!$E$10</f>
        <v/>
      </c>
      <c r="C8" s="24">
        <f>C7*Scenarios!$E$10</f>
        <v/>
      </c>
      <c r="D8" s="24">
        <f>D7*Scenarios!$E$10</f>
        <v/>
      </c>
      <c r="E8" s="24">
        <f>E7*Scenarios!$E$10</f>
        <v/>
      </c>
      <c r="F8" s="24">
        <f>F7*Scenarios!$E$10</f>
        <v/>
      </c>
      <c r="G8" s="24">
        <f>G7*Scenarios!$E$10</f>
        <v/>
      </c>
      <c r="H8" s="24">
        <f>H7*Scenarios!$E$10</f>
        <v/>
      </c>
      <c r="I8" s="24">
        <f>I7*Scenarios!$E$10</f>
        <v/>
      </c>
      <c r="J8" s="24">
        <f>J7*Scenarios!$E$10</f>
        <v/>
      </c>
      <c r="K8" s="24">
        <f>K7*Scenarios!$E$10</f>
        <v/>
      </c>
      <c r="L8" s="24">
        <f>L7*Scenarios!$E$10</f>
        <v/>
      </c>
      <c r="M8" s="24">
        <f>M7*Scenarios!$E$10</f>
        <v/>
      </c>
      <c r="N8" s="24">
        <f>N7*Scenarios!$E$10</f>
        <v/>
      </c>
      <c r="O8" s="24">
        <f>O7*Scenarios!$E$10</f>
        <v/>
      </c>
      <c r="P8" s="24">
        <f>P7*Scenarios!$E$10</f>
        <v/>
      </c>
      <c r="Q8" s="24">
        <f>Q7*Scenarios!$E$10</f>
        <v/>
      </c>
      <c r="R8" s="24">
        <f>R7*Scenarios!$E$10</f>
        <v/>
      </c>
      <c r="S8" s="24">
        <f>S7*Scenarios!$E$10</f>
        <v/>
      </c>
      <c r="T8" s="24">
        <f>T7*Scenarios!$E$10</f>
        <v/>
      </c>
      <c r="U8" s="24">
        <f>U7*Scenarios!$E$10</f>
        <v/>
      </c>
      <c r="V8" s="24">
        <f>V7*Scenarios!$E$10</f>
        <v/>
      </c>
      <c r="W8" s="24">
        <f>W7*Scenarios!$E$10</f>
        <v/>
      </c>
      <c r="X8" s="24">
        <f>X7*Scenarios!$E$10</f>
        <v/>
      </c>
      <c r="Y8" s="24">
        <f>Y7*Scenarios!$E$10</f>
        <v/>
      </c>
      <c r="Z8" s="14">
        <f>SUM(B8:Y8)</f>
        <v/>
      </c>
    </row>
    <row r="9">
      <c r="A9" s="9" t="inlineStr">
        <is>
          <t>Listing-side transactions</t>
        </is>
      </c>
      <c r="B9" s="24">
        <f>B8*Scenarios!$E$11</f>
        <v/>
      </c>
      <c r="C9" s="24">
        <f>C8*Scenarios!$E$11</f>
        <v/>
      </c>
      <c r="D9" s="24">
        <f>D8*Scenarios!$E$11</f>
        <v/>
      </c>
      <c r="E9" s="24">
        <f>E8*Scenarios!$E$11</f>
        <v/>
      </c>
      <c r="F9" s="24">
        <f>F8*Scenarios!$E$11</f>
        <v/>
      </c>
      <c r="G9" s="24">
        <f>G8*Scenarios!$E$11</f>
        <v/>
      </c>
      <c r="H9" s="24">
        <f>H8*Scenarios!$E$11</f>
        <v/>
      </c>
      <c r="I9" s="24">
        <f>I8*Scenarios!$E$11</f>
        <v/>
      </c>
      <c r="J9" s="24">
        <f>J8*Scenarios!$E$11</f>
        <v/>
      </c>
      <c r="K9" s="24">
        <f>K8*Scenarios!$E$11</f>
        <v/>
      </c>
      <c r="L9" s="24">
        <f>L8*Scenarios!$E$11</f>
        <v/>
      </c>
      <c r="M9" s="24">
        <f>M8*Scenarios!$E$11</f>
        <v/>
      </c>
      <c r="N9" s="24">
        <f>N8*Scenarios!$E$11</f>
        <v/>
      </c>
      <c r="O9" s="24">
        <f>O8*Scenarios!$E$11</f>
        <v/>
      </c>
      <c r="P9" s="24">
        <f>P8*Scenarios!$E$11</f>
        <v/>
      </c>
      <c r="Q9" s="24">
        <f>Q8*Scenarios!$E$11</f>
        <v/>
      </c>
      <c r="R9" s="24">
        <f>R8*Scenarios!$E$11</f>
        <v/>
      </c>
      <c r="S9" s="24">
        <f>S8*Scenarios!$E$11</f>
        <v/>
      </c>
      <c r="T9" s="24">
        <f>T8*Scenarios!$E$11</f>
        <v/>
      </c>
      <c r="U9" s="24">
        <f>U8*Scenarios!$E$11</f>
        <v/>
      </c>
      <c r="V9" s="24">
        <f>V8*Scenarios!$E$11</f>
        <v/>
      </c>
      <c r="W9" s="24">
        <f>W8*Scenarios!$E$11</f>
        <v/>
      </c>
      <c r="X9" s="24">
        <f>X8*Scenarios!$E$11</f>
        <v/>
      </c>
      <c r="Y9" s="24">
        <f>Y8*Scenarios!$E$11</f>
        <v/>
      </c>
      <c r="Z9" s="14">
        <f>SUM(B9:Y9)</f>
        <v/>
      </c>
    </row>
    <row r="10">
      <c r="A10" s="9" t="inlineStr">
        <is>
          <t>Listings taking the media package</t>
        </is>
      </c>
      <c r="B10" s="24">
        <f>B9*Scenarios!$E$13</f>
        <v/>
      </c>
      <c r="C10" s="24">
        <f>C9*Scenarios!$E$13</f>
        <v/>
      </c>
      <c r="D10" s="24">
        <f>D9*Scenarios!$E$13</f>
        <v/>
      </c>
      <c r="E10" s="24">
        <f>E9*Scenarios!$E$13</f>
        <v/>
      </c>
      <c r="F10" s="24">
        <f>F9*Scenarios!$E$13</f>
        <v/>
      </c>
      <c r="G10" s="24">
        <f>G9*Scenarios!$E$13</f>
        <v/>
      </c>
      <c r="H10" s="24">
        <f>H9*Scenarios!$E$13</f>
        <v/>
      </c>
      <c r="I10" s="24">
        <f>I9*Scenarios!$E$13</f>
        <v/>
      </c>
      <c r="J10" s="24">
        <f>J9*Scenarios!$E$13</f>
        <v/>
      </c>
      <c r="K10" s="24">
        <f>K9*Scenarios!$E$13</f>
        <v/>
      </c>
      <c r="L10" s="24">
        <f>L9*Scenarios!$E$13</f>
        <v/>
      </c>
      <c r="M10" s="24">
        <f>M9*Scenarios!$E$13</f>
        <v/>
      </c>
      <c r="N10" s="24">
        <f>N9*Scenarios!$E$13</f>
        <v/>
      </c>
      <c r="O10" s="24">
        <f>O9*Scenarios!$E$13</f>
        <v/>
      </c>
      <c r="P10" s="24">
        <f>P9*Scenarios!$E$13</f>
        <v/>
      </c>
      <c r="Q10" s="24">
        <f>Q9*Scenarios!$E$13</f>
        <v/>
      </c>
      <c r="R10" s="24">
        <f>R9*Scenarios!$E$13</f>
        <v/>
      </c>
      <c r="S10" s="24">
        <f>S9*Scenarios!$E$13</f>
        <v/>
      </c>
      <c r="T10" s="24">
        <f>T9*Scenarios!$E$13</f>
        <v/>
      </c>
      <c r="U10" s="24">
        <f>U9*Scenarios!$E$13</f>
        <v/>
      </c>
      <c r="V10" s="24">
        <f>V9*Scenarios!$E$13</f>
        <v/>
      </c>
      <c r="W10" s="24">
        <f>W9*Scenarios!$E$13</f>
        <v/>
      </c>
      <c r="X10" s="24">
        <f>X9*Scenarios!$E$13</f>
        <v/>
      </c>
      <c r="Y10" s="24">
        <f>Y9*Scenarios!$E$13</f>
        <v/>
      </c>
      <c r="Z10" s="14">
        <f>SUM(B10:Y10)</f>
        <v/>
      </c>
    </row>
    <row r="12">
      <c r="A12" s="19" t="inlineStr">
        <is>
          <t>Revenue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>
      <c r="A13" s="9" t="inlineStr">
        <is>
          <t>Membership fees</t>
        </is>
      </c>
      <c r="B13" s="25">
        <f>B7*Tiers!$B$21</f>
        <v/>
      </c>
      <c r="C13" s="25">
        <f>C7*Tiers!$B$21</f>
        <v/>
      </c>
      <c r="D13" s="25">
        <f>D7*Tiers!$B$21</f>
        <v/>
      </c>
      <c r="E13" s="25">
        <f>E7*Tiers!$B$21</f>
        <v/>
      </c>
      <c r="F13" s="25">
        <f>F7*Tiers!$B$21</f>
        <v/>
      </c>
      <c r="G13" s="25">
        <f>G7*Tiers!$B$21</f>
        <v/>
      </c>
      <c r="H13" s="25">
        <f>H7*Tiers!$B$21</f>
        <v/>
      </c>
      <c r="I13" s="25">
        <f>I7*Tiers!$B$21</f>
        <v/>
      </c>
      <c r="J13" s="25">
        <f>J7*Tiers!$B$21</f>
        <v/>
      </c>
      <c r="K13" s="25">
        <f>K7*Tiers!$B$21</f>
        <v/>
      </c>
      <c r="L13" s="25">
        <f>L7*Tiers!$B$21</f>
        <v/>
      </c>
      <c r="M13" s="25">
        <f>M7*Tiers!$B$21</f>
        <v/>
      </c>
      <c r="N13" s="25">
        <f>N7*Tiers!$B$21</f>
        <v/>
      </c>
      <c r="O13" s="25">
        <f>O7*Tiers!$B$21</f>
        <v/>
      </c>
      <c r="P13" s="25">
        <f>P7*Tiers!$B$21</f>
        <v/>
      </c>
      <c r="Q13" s="25">
        <f>Q7*Tiers!$B$21</f>
        <v/>
      </c>
      <c r="R13" s="25">
        <f>R7*Tiers!$B$21</f>
        <v/>
      </c>
      <c r="S13" s="25">
        <f>S7*Tiers!$B$21</f>
        <v/>
      </c>
      <c r="T13" s="25">
        <f>T7*Tiers!$B$21</f>
        <v/>
      </c>
      <c r="U13" s="25">
        <f>U7*Tiers!$B$21</f>
        <v/>
      </c>
      <c r="V13" s="25">
        <f>V7*Tiers!$B$21</f>
        <v/>
      </c>
      <c r="W13" s="25">
        <f>W7*Tiers!$B$21</f>
        <v/>
      </c>
      <c r="X13" s="25">
        <f>X7*Tiers!$B$21</f>
        <v/>
      </c>
      <c r="Y13" s="25">
        <f>Y7*Tiers!$B$21</f>
        <v/>
      </c>
      <c r="Z13" s="18">
        <f>SUM(B13:Y13)</f>
        <v/>
      </c>
    </row>
    <row r="14">
      <c r="A14" s="9" t="inlineStr">
        <is>
          <t>Transaction fees</t>
        </is>
      </c>
      <c r="B14" s="25">
        <f>B8*Tiers!$B$22</f>
        <v/>
      </c>
      <c r="C14" s="25">
        <f>C8*Tiers!$B$22</f>
        <v/>
      </c>
      <c r="D14" s="25">
        <f>D8*Tiers!$B$22</f>
        <v/>
      </c>
      <c r="E14" s="25">
        <f>E8*Tiers!$B$22</f>
        <v/>
      </c>
      <c r="F14" s="25">
        <f>F8*Tiers!$B$22</f>
        <v/>
      </c>
      <c r="G14" s="25">
        <f>G8*Tiers!$B$22</f>
        <v/>
      </c>
      <c r="H14" s="25">
        <f>H8*Tiers!$B$22</f>
        <v/>
      </c>
      <c r="I14" s="25">
        <f>I8*Tiers!$B$22</f>
        <v/>
      </c>
      <c r="J14" s="25">
        <f>J8*Tiers!$B$22</f>
        <v/>
      </c>
      <c r="K14" s="25">
        <f>K8*Tiers!$B$22</f>
        <v/>
      </c>
      <c r="L14" s="25">
        <f>L8*Tiers!$B$22</f>
        <v/>
      </c>
      <c r="M14" s="25">
        <f>M8*Tiers!$B$22</f>
        <v/>
      </c>
      <c r="N14" s="25">
        <f>N8*Tiers!$B$22</f>
        <v/>
      </c>
      <c r="O14" s="25">
        <f>O8*Tiers!$B$22</f>
        <v/>
      </c>
      <c r="P14" s="25">
        <f>P8*Tiers!$B$22</f>
        <v/>
      </c>
      <c r="Q14" s="25">
        <f>Q8*Tiers!$B$22</f>
        <v/>
      </c>
      <c r="R14" s="25">
        <f>R8*Tiers!$B$22</f>
        <v/>
      </c>
      <c r="S14" s="25">
        <f>S8*Tiers!$B$22</f>
        <v/>
      </c>
      <c r="T14" s="25">
        <f>T8*Tiers!$B$22</f>
        <v/>
      </c>
      <c r="U14" s="25">
        <f>U8*Tiers!$B$22</f>
        <v/>
      </c>
      <c r="V14" s="25">
        <f>V8*Tiers!$B$22</f>
        <v/>
      </c>
      <c r="W14" s="25">
        <f>W8*Tiers!$B$22</f>
        <v/>
      </c>
      <c r="X14" s="25">
        <f>X8*Tiers!$B$22</f>
        <v/>
      </c>
      <c r="Y14" s="25">
        <f>Y8*Tiers!$B$22</f>
        <v/>
      </c>
      <c r="Z14" s="18">
        <f>SUM(B14:Y14)</f>
        <v/>
      </c>
    </row>
    <row r="15">
      <c r="A15" s="9" t="inlineStr">
        <is>
          <t>Media billed to agents above credit</t>
        </is>
      </c>
      <c r="B15" s="25">
        <f>B10*MAX(0,Costs!$B$23-Tiers!$B$23)</f>
        <v/>
      </c>
      <c r="C15" s="25">
        <f>C10*MAX(0,Costs!$B$23-Tiers!$B$23)</f>
        <v/>
      </c>
      <c r="D15" s="25">
        <f>D10*MAX(0,Costs!$B$23-Tiers!$B$23)</f>
        <v/>
      </c>
      <c r="E15" s="25">
        <f>E10*MAX(0,Costs!$B$23-Tiers!$B$23)</f>
        <v/>
      </c>
      <c r="F15" s="25">
        <f>F10*MAX(0,Costs!$B$23-Tiers!$B$23)</f>
        <v/>
      </c>
      <c r="G15" s="25">
        <f>G10*MAX(0,Costs!$B$23-Tiers!$B$23)</f>
        <v/>
      </c>
      <c r="H15" s="25">
        <f>H10*MAX(0,Costs!$B$23-Tiers!$B$23)</f>
        <v/>
      </c>
      <c r="I15" s="25">
        <f>I10*MAX(0,Costs!$B$23-Tiers!$B$23)</f>
        <v/>
      </c>
      <c r="J15" s="25">
        <f>J10*MAX(0,Costs!$B$23-Tiers!$B$23)</f>
        <v/>
      </c>
      <c r="K15" s="25">
        <f>K10*MAX(0,Costs!$B$23-Tiers!$B$23)</f>
        <v/>
      </c>
      <c r="L15" s="25">
        <f>L10*MAX(0,Costs!$B$23-Tiers!$B$23)</f>
        <v/>
      </c>
      <c r="M15" s="25">
        <f>M10*MAX(0,Costs!$B$23-Tiers!$B$23)</f>
        <v/>
      </c>
      <c r="N15" s="25">
        <f>N10*MAX(0,Costs!$B$23-Tiers!$B$23)</f>
        <v/>
      </c>
      <c r="O15" s="25">
        <f>O10*MAX(0,Costs!$B$23-Tiers!$B$23)</f>
        <v/>
      </c>
      <c r="P15" s="25">
        <f>P10*MAX(0,Costs!$B$23-Tiers!$B$23)</f>
        <v/>
      </c>
      <c r="Q15" s="25">
        <f>Q10*MAX(0,Costs!$B$23-Tiers!$B$23)</f>
        <v/>
      </c>
      <c r="R15" s="25">
        <f>R10*MAX(0,Costs!$B$23-Tiers!$B$23)</f>
        <v/>
      </c>
      <c r="S15" s="25">
        <f>S10*MAX(0,Costs!$B$23-Tiers!$B$23)</f>
        <v/>
      </c>
      <c r="T15" s="25">
        <f>T10*MAX(0,Costs!$B$23-Tiers!$B$23)</f>
        <v/>
      </c>
      <c r="U15" s="25">
        <f>U10*MAX(0,Costs!$B$23-Tiers!$B$23)</f>
        <v/>
      </c>
      <c r="V15" s="25">
        <f>V10*MAX(0,Costs!$B$23-Tiers!$B$23)</f>
        <v/>
      </c>
      <c r="W15" s="25">
        <f>W10*MAX(0,Costs!$B$23-Tiers!$B$23)</f>
        <v/>
      </c>
      <c r="X15" s="25">
        <f>X10*MAX(0,Costs!$B$23-Tiers!$B$23)</f>
        <v/>
      </c>
      <c r="Y15" s="25">
        <f>Y10*MAX(0,Costs!$B$23-Tiers!$B$23)</f>
        <v/>
      </c>
      <c r="Z15" s="18">
        <f>SUM(B15:Y15)</f>
        <v/>
      </c>
    </row>
    <row r="16">
      <c r="A16" s="5" t="inlineStr">
        <is>
          <t>Total revenue</t>
        </is>
      </c>
      <c r="B16" s="18">
        <f>SUM(B13:B15)</f>
        <v/>
      </c>
      <c r="C16" s="18">
        <f>SUM(C13:C15)</f>
        <v/>
      </c>
      <c r="D16" s="18">
        <f>SUM(D13:D15)</f>
        <v/>
      </c>
      <c r="E16" s="18">
        <f>SUM(E13:E15)</f>
        <v/>
      </c>
      <c r="F16" s="18">
        <f>SUM(F13:F15)</f>
        <v/>
      </c>
      <c r="G16" s="18">
        <f>SUM(G13:G15)</f>
        <v/>
      </c>
      <c r="H16" s="18">
        <f>SUM(H13:H15)</f>
        <v/>
      </c>
      <c r="I16" s="18">
        <f>SUM(I13:I15)</f>
        <v/>
      </c>
      <c r="J16" s="18">
        <f>SUM(J13:J15)</f>
        <v/>
      </c>
      <c r="K16" s="18">
        <f>SUM(K13:K15)</f>
        <v/>
      </c>
      <c r="L16" s="18">
        <f>SUM(L13:L15)</f>
        <v/>
      </c>
      <c r="M16" s="18">
        <f>SUM(M13:M15)</f>
        <v/>
      </c>
      <c r="N16" s="18">
        <f>SUM(N13:N15)</f>
        <v/>
      </c>
      <c r="O16" s="18">
        <f>SUM(O13:O15)</f>
        <v/>
      </c>
      <c r="P16" s="18">
        <f>SUM(P13:P15)</f>
        <v/>
      </c>
      <c r="Q16" s="18">
        <f>SUM(Q13:Q15)</f>
        <v/>
      </c>
      <c r="R16" s="18">
        <f>SUM(R13:R15)</f>
        <v/>
      </c>
      <c r="S16" s="18">
        <f>SUM(S13:S15)</f>
        <v/>
      </c>
      <c r="T16" s="18">
        <f>SUM(T13:T15)</f>
        <v/>
      </c>
      <c r="U16" s="18">
        <f>SUM(U13:U15)</f>
        <v/>
      </c>
      <c r="V16" s="18">
        <f>SUM(V13:V15)</f>
        <v/>
      </c>
      <c r="W16" s="18">
        <f>SUM(W13:W15)</f>
        <v/>
      </c>
      <c r="X16" s="18">
        <f>SUM(X13:X15)</f>
        <v/>
      </c>
      <c r="Y16" s="18">
        <f>SUM(Y13:Y15)</f>
        <v/>
      </c>
      <c r="Z16" s="18">
        <f>SUM(B16:Y16)</f>
        <v/>
      </c>
    </row>
    <row r="18">
      <c r="A18" s="19" t="inlineStr">
        <is>
          <t>Cost of service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</row>
    <row r="19">
      <c r="A19" s="9" t="inlineStr">
        <is>
          <t>Listings above your shooting capacity</t>
        </is>
      </c>
      <c r="B19" s="24">
        <f>IF(Tiers!$B$3="D. In-house media",MAX(0,B10-Costs!$B$21),0)</f>
        <v/>
      </c>
      <c r="C19" s="24">
        <f>IF(Tiers!$B$3="D. In-house media",MAX(0,C10-Costs!$B$21),0)</f>
        <v/>
      </c>
      <c r="D19" s="24">
        <f>IF(Tiers!$B$3="D. In-house media",MAX(0,D10-Costs!$B$21),0)</f>
        <v/>
      </c>
      <c r="E19" s="24">
        <f>IF(Tiers!$B$3="D. In-house media",MAX(0,E10-Costs!$B$21),0)</f>
        <v/>
      </c>
      <c r="F19" s="24">
        <f>IF(Tiers!$B$3="D. In-house media",MAX(0,F10-Costs!$B$21),0)</f>
        <v/>
      </c>
      <c r="G19" s="24">
        <f>IF(Tiers!$B$3="D. In-house media",MAX(0,G10-Costs!$B$21),0)</f>
        <v/>
      </c>
      <c r="H19" s="24">
        <f>IF(Tiers!$B$3="D. In-house media",MAX(0,H10-Costs!$B$21),0)</f>
        <v/>
      </c>
      <c r="I19" s="24">
        <f>IF(Tiers!$B$3="D. In-house media",MAX(0,I10-Costs!$B$21),0)</f>
        <v/>
      </c>
      <c r="J19" s="24">
        <f>IF(Tiers!$B$3="D. In-house media",MAX(0,J10-Costs!$B$21),0)</f>
        <v/>
      </c>
      <c r="K19" s="24">
        <f>IF(Tiers!$B$3="D. In-house media",MAX(0,K10-Costs!$B$21),0)</f>
        <v/>
      </c>
      <c r="L19" s="24">
        <f>IF(Tiers!$B$3="D. In-house media",MAX(0,L10-Costs!$B$21),0)</f>
        <v/>
      </c>
      <c r="M19" s="24">
        <f>IF(Tiers!$B$3="D. In-house media",MAX(0,M10-Costs!$B$21),0)</f>
        <v/>
      </c>
      <c r="N19" s="24">
        <f>IF(Tiers!$B$3="D. In-house media",MAX(0,N10-Costs!$B$21),0)</f>
        <v/>
      </c>
      <c r="O19" s="24">
        <f>IF(Tiers!$B$3="D. In-house media",MAX(0,O10-Costs!$B$21),0)</f>
        <v/>
      </c>
      <c r="P19" s="24">
        <f>IF(Tiers!$B$3="D. In-house media",MAX(0,P10-Costs!$B$21),0)</f>
        <v/>
      </c>
      <c r="Q19" s="24">
        <f>IF(Tiers!$B$3="D. In-house media",MAX(0,Q10-Costs!$B$21),0)</f>
        <v/>
      </c>
      <c r="R19" s="24">
        <f>IF(Tiers!$B$3="D. In-house media",MAX(0,R10-Costs!$B$21),0)</f>
        <v/>
      </c>
      <c r="S19" s="24">
        <f>IF(Tiers!$B$3="D. In-house media",MAX(0,S10-Costs!$B$21),0)</f>
        <v/>
      </c>
      <c r="T19" s="24">
        <f>IF(Tiers!$B$3="D. In-house media",MAX(0,T10-Costs!$B$21),0)</f>
        <v/>
      </c>
      <c r="U19" s="24">
        <f>IF(Tiers!$B$3="D. In-house media",MAX(0,U10-Costs!$B$21),0)</f>
        <v/>
      </c>
      <c r="V19" s="24">
        <f>IF(Tiers!$B$3="D. In-house media",MAX(0,V10-Costs!$B$21),0)</f>
        <v/>
      </c>
      <c r="W19" s="24">
        <f>IF(Tiers!$B$3="D. In-house media",MAX(0,W10-Costs!$B$21),0)</f>
        <v/>
      </c>
      <c r="X19" s="24">
        <f>IF(Tiers!$B$3="D. In-house media",MAX(0,X10-Costs!$B$21),0)</f>
        <v/>
      </c>
      <c r="Y19" s="24">
        <f>IF(Tiers!$B$3="D. In-house media",MAX(0,Y10-Costs!$B$21),0)</f>
        <v/>
      </c>
      <c r="Z19" s="14">
        <f>SUM(B19:Y19)</f>
        <v/>
      </c>
    </row>
    <row r="20">
      <c r="A20" s="9" t="inlineStr">
        <is>
          <t>Media cost</t>
        </is>
      </c>
      <c r="B20" s="25">
        <f>MIN(B10,IF(Tiers!$B$3="D. In-house media",Costs!$B$21,B10))*Costs!$B$23+B19*Costs!$B$11</f>
        <v/>
      </c>
      <c r="C20" s="25">
        <f>MIN(C10,IF(Tiers!$B$3="D. In-house media",Costs!$B$21,C10))*Costs!$B$23+C19*Costs!$B$11</f>
        <v/>
      </c>
      <c r="D20" s="25">
        <f>MIN(D10,IF(Tiers!$B$3="D. In-house media",Costs!$B$21,D10))*Costs!$B$23+D19*Costs!$B$11</f>
        <v/>
      </c>
      <c r="E20" s="25">
        <f>MIN(E10,IF(Tiers!$B$3="D. In-house media",Costs!$B$21,E10))*Costs!$B$23+E19*Costs!$B$11</f>
        <v/>
      </c>
      <c r="F20" s="25">
        <f>MIN(F10,IF(Tiers!$B$3="D. In-house media",Costs!$B$21,F10))*Costs!$B$23+F19*Costs!$B$11</f>
        <v/>
      </c>
      <c r="G20" s="25">
        <f>MIN(G10,IF(Tiers!$B$3="D. In-house media",Costs!$B$21,G10))*Costs!$B$23+G19*Costs!$B$11</f>
        <v/>
      </c>
      <c r="H20" s="25">
        <f>MIN(H10,IF(Tiers!$B$3="D. In-house media",Costs!$B$21,H10))*Costs!$B$23+H19*Costs!$B$11</f>
        <v/>
      </c>
      <c r="I20" s="25">
        <f>MIN(I10,IF(Tiers!$B$3="D. In-house media",Costs!$B$21,I10))*Costs!$B$23+I19*Costs!$B$11</f>
        <v/>
      </c>
      <c r="J20" s="25">
        <f>MIN(J10,IF(Tiers!$B$3="D. In-house media",Costs!$B$21,J10))*Costs!$B$23+J19*Costs!$B$11</f>
        <v/>
      </c>
      <c r="K20" s="25">
        <f>MIN(K10,IF(Tiers!$B$3="D. In-house media",Costs!$B$21,K10))*Costs!$B$23+K19*Costs!$B$11</f>
        <v/>
      </c>
      <c r="L20" s="25">
        <f>MIN(L10,IF(Tiers!$B$3="D. In-house media",Costs!$B$21,L10))*Costs!$B$23+L19*Costs!$B$11</f>
        <v/>
      </c>
      <c r="M20" s="25">
        <f>MIN(M10,IF(Tiers!$B$3="D. In-house media",Costs!$B$21,M10))*Costs!$B$23+M19*Costs!$B$11</f>
        <v/>
      </c>
      <c r="N20" s="25">
        <f>MIN(N10,IF(Tiers!$B$3="D. In-house media",Costs!$B$21,N10))*Costs!$B$23+N19*Costs!$B$11</f>
        <v/>
      </c>
      <c r="O20" s="25">
        <f>MIN(O10,IF(Tiers!$B$3="D. In-house media",Costs!$B$21,O10))*Costs!$B$23+O19*Costs!$B$11</f>
        <v/>
      </c>
      <c r="P20" s="25">
        <f>MIN(P10,IF(Tiers!$B$3="D. In-house media",Costs!$B$21,P10))*Costs!$B$23+P19*Costs!$B$11</f>
        <v/>
      </c>
      <c r="Q20" s="25">
        <f>MIN(Q10,IF(Tiers!$B$3="D. In-house media",Costs!$B$21,Q10))*Costs!$B$23+Q19*Costs!$B$11</f>
        <v/>
      </c>
      <c r="R20" s="25">
        <f>MIN(R10,IF(Tiers!$B$3="D. In-house media",Costs!$B$21,R10))*Costs!$B$23+R19*Costs!$B$11</f>
        <v/>
      </c>
      <c r="S20" s="25">
        <f>MIN(S10,IF(Tiers!$B$3="D. In-house media",Costs!$B$21,S10))*Costs!$B$23+S19*Costs!$B$11</f>
        <v/>
      </c>
      <c r="T20" s="25">
        <f>MIN(T10,IF(Tiers!$B$3="D. In-house media",Costs!$B$21,T10))*Costs!$B$23+T19*Costs!$B$11</f>
        <v/>
      </c>
      <c r="U20" s="25">
        <f>MIN(U10,IF(Tiers!$B$3="D. In-house media",Costs!$B$21,U10))*Costs!$B$23+U19*Costs!$B$11</f>
        <v/>
      </c>
      <c r="V20" s="25">
        <f>MIN(V10,IF(Tiers!$B$3="D. In-house media",Costs!$B$21,V10))*Costs!$B$23+V19*Costs!$B$11</f>
        <v/>
      </c>
      <c r="W20" s="25">
        <f>MIN(W10,IF(Tiers!$B$3="D. In-house media",Costs!$B$21,W10))*Costs!$B$23+W19*Costs!$B$11</f>
        <v/>
      </c>
      <c r="X20" s="25">
        <f>MIN(X10,IF(Tiers!$B$3="D. In-house media",Costs!$B$21,X10))*Costs!$B$23+X19*Costs!$B$11</f>
        <v/>
      </c>
      <c r="Y20" s="25">
        <f>MIN(Y10,IF(Tiers!$B$3="D. In-house media",Costs!$B$21,Y10))*Costs!$B$23+Y19*Costs!$B$11</f>
        <v/>
      </c>
      <c r="Z20" s="18">
        <f>SUM(B20:Y20)</f>
        <v/>
      </c>
    </row>
    <row r="21">
      <c r="A21" s="9" t="inlineStr">
        <is>
          <t>Per-transaction cost</t>
        </is>
      </c>
      <c r="B21" s="25">
        <f>B8*((Costs!$B$44+Costs!$B$45)+Tiers!$B$25*Costs!$B$46)</f>
        <v/>
      </c>
      <c r="C21" s="25">
        <f>C8*((Costs!$B$44+Costs!$B$45)+Tiers!$B$25*Costs!$B$46)</f>
        <v/>
      </c>
      <c r="D21" s="25">
        <f>D8*((Costs!$B$44+Costs!$B$45)+Tiers!$B$25*Costs!$B$46)</f>
        <v/>
      </c>
      <c r="E21" s="25">
        <f>E8*((Costs!$B$44+Costs!$B$45)+Tiers!$B$25*Costs!$B$46)</f>
        <v/>
      </c>
      <c r="F21" s="25">
        <f>F8*((Costs!$B$44+Costs!$B$45)+Tiers!$B$25*Costs!$B$46)</f>
        <v/>
      </c>
      <c r="G21" s="25">
        <f>G8*((Costs!$B$44+Costs!$B$45)+Tiers!$B$25*Costs!$B$46)</f>
        <v/>
      </c>
      <c r="H21" s="25">
        <f>H8*((Costs!$B$44+Costs!$B$45)+Tiers!$B$25*Costs!$B$46)</f>
        <v/>
      </c>
      <c r="I21" s="25">
        <f>I8*((Costs!$B$44+Costs!$B$45)+Tiers!$B$25*Costs!$B$46)</f>
        <v/>
      </c>
      <c r="J21" s="25">
        <f>J8*((Costs!$B$44+Costs!$B$45)+Tiers!$B$25*Costs!$B$46)</f>
        <v/>
      </c>
      <c r="K21" s="25">
        <f>K8*((Costs!$B$44+Costs!$B$45)+Tiers!$B$25*Costs!$B$46)</f>
        <v/>
      </c>
      <c r="L21" s="25">
        <f>L8*((Costs!$B$44+Costs!$B$45)+Tiers!$B$25*Costs!$B$46)</f>
        <v/>
      </c>
      <c r="M21" s="25">
        <f>M8*((Costs!$B$44+Costs!$B$45)+Tiers!$B$25*Costs!$B$46)</f>
        <v/>
      </c>
      <c r="N21" s="25">
        <f>N8*((Costs!$B$44+Costs!$B$45)+Tiers!$B$25*Costs!$B$46)</f>
        <v/>
      </c>
      <c r="O21" s="25">
        <f>O8*((Costs!$B$44+Costs!$B$45)+Tiers!$B$25*Costs!$B$46)</f>
        <v/>
      </c>
      <c r="P21" s="25">
        <f>P8*((Costs!$B$44+Costs!$B$45)+Tiers!$B$25*Costs!$B$46)</f>
        <v/>
      </c>
      <c r="Q21" s="25">
        <f>Q8*((Costs!$B$44+Costs!$B$45)+Tiers!$B$25*Costs!$B$46)</f>
        <v/>
      </c>
      <c r="R21" s="25">
        <f>R8*((Costs!$B$44+Costs!$B$45)+Tiers!$B$25*Costs!$B$46)</f>
        <v/>
      </c>
      <c r="S21" s="25">
        <f>S8*((Costs!$B$44+Costs!$B$45)+Tiers!$B$25*Costs!$B$46)</f>
        <v/>
      </c>
      <c r="T21" s="25">
        <f>T8*((Costs!$B$44+Costs!$B$45)+Tiers!$B$25*Costs!$B$46)</f>
        <v/>
      </c>
      <c r="U21" s="25">
        <f>U8*((Costs!$B$44+Costs!$B$45)+Tiers!$B$25*Costs!$B$46)</f>
        <v/>
      </c>
      <c r="V21" s="25">
        <f>V8*((Costs!$B$44+Costs!$B$45)+Tiers!$B$25*Costs!$B$46)</f>
        <v/>
      </c>
      <c r="W21" s="25">
        <f>W8*((Costs!$B$44+Costs!$B$45)+Tiers!$B$25*Costs!$B$46)</f>
        <v/>
      </c>
      <c r="X21" s="25">
        <f>X8*((Costs!$B$44+Costs!$B$45)+Tiers!$B$25*Costs!$B$46)</f>
        <v/>
      </c>
      <c r="Y21" s="25">
        <f>Y8*((Costs!$B$44+Costs!$B$45)+Tiers!$B$25*Costs!$B$46)</f>
        <v/>
      </c>
      <c r="Z21" s="18">
        <f>SUM(B21:Y21)</f>
        <v/>
      </c>
    </row>
    <row r="22">
      <c r="A22" s="9" t="inlineStr">
        <is>
          <t>Per-agent cost</t>
        </is>
      </c>
      <c r="B22" s="25">
        <f>B7*(Costs!$B$41+Tiers!$B$24*Costs!$B$40)</f>
        <v/>
      </c>
      <c r="C22" s="25">
        <f>C7*(Costs!$B$41+Tiers!$B$24*Costs!$B$40)</f>
        <v/>
      </c>
      <c r="D22" s="25">
        <f>D7*(Costs!$B$41+Tiers!$B$24*Costs!$B$40)</f>
        <v/>
      </c>
      <c r="E22" s="25">
        <f>E7*(Costs!$B$41+Tiers!$B$24*Costs!$B$40)</f>
        <v/>
      </c>
      <c r="F22" s="25">
        <f>F7*(Costs!$B$41+Tiers!$B$24*Costs!$B$40)</f>
        <v/>
      </c>
      <c r="G22" s="25">
        <f>G7*(Costs!$B$41+Tiers!$B$24*Costs!$B$40)</f>
        <v/>
      </c>
      <c r="H22" s="25">
        <f>H7*(Costs!$B$41+Tiers!$B$24*Costs!$B$40)</f>
        <v/>
      </c>
      <c r="I22" s="25">
        <f>I7*(Costs!$B$41+Tiers!$B$24*Costs!$B$40)</f>
        <v/>
      </c>
      <c r="J22" s="25">
        <f>J7*(Costs!$B$41+Tiers!$B$24*Costs!$B$40)</f>
        <v/>
      </c>
      <c r="K22" s="25">
        <f>K7*(Costs!$B$41+Tiers!$B$24*Costs!$B$40)</f>
        <v/>
      </c>
      <c r="L22" s="25">
        <f>L7*(Costs!$B$41+Tiers!$B$24*Costs!$B$40)</f>
        <v/>
      </c>
      <c r="M22" s="25">
        <f>M7*(Costs!$B$41+Tiers!$B$24*Costs!$B$40)</f>
        <v/>
      </c>
      <c r="N22" s="25">
        <f>N7*(Costs!$B$41+Tiers!$B$24*Costs!$B$40)</f>
        <v/>
      </c>
      <c r="O22" s="25">
        <f>O7*(Costs!$B$41+Tiers!$B$24*Costs!$B$40)</f>
        <v/>
      </c>
      <c r="P22" s="25">
        <f>P7*(Costs!$B$41+Tiers!$B$24*Costs!$B$40)</f>
        <v/>
      </c>
      <c r="Q22" s="25">
        <f>Q7*(Costs!$B$41+Tiers!$B$24*Costs!$B$40)</f>
        <v/>
      </c>
      <c r="R22" s="25">
        <f>R7*(Costs!$B$41+Tiers!$B$24*Costs!$B$40)</f>
        <v/>
      </c>
      <c r="S22" s="25">
        <f>S7*(Costs!$B$41+Tiers!$B$24*Costs!$B$40)</f>
        <v/>
      </c>
      <c r="T22" s="25">
        <f>T7*(Costs!$B$41+Tiers!$B$24*Costs!$B$40)</f>
        <v/>
      </c>
      <c r="U22" s="25">
        <f>U7*(Costs!$B$41+Tiers!$B$24*Costs!$B$40)</f>
        <v/>
      </c>
      <c r="V22" s="25">
        <f>V7*(Costs!$B$41+Tiers!$B$24*Costs!$B$40)</f>
        <v/>
      </c>
      <c r="W22" s="25">
        <f>W7*(Costs!$B$41+Tiers!$B$24*Costs!$B$40)</f>
        <v/>
      </c>
      <c r="X22" s="25">
        <f>X7*(Costs!$B$41+Tiers!$B$24*Costs!$B$40)</f>
        <v/>
      </c>
      <c r="Y22" s="25">
        <f>Y7*(Costs!$B$41+Tiers!$B$24*Costs!$B$40)</f>
        <v/>
      </c>
      <c r="Z22" s="18">
        <f>SUM(B22:Y22)</f>
        <v/>
      </c>
    </row>
    <row r="23">
      <c r="A23" s="9" t="inlineStr">
        <is>
          <t>Fixed overhead</t>
        </is>
      </c>
      <c r="B23" s="25">
        <f>Costs!$B$37</f>
        <v/>
      </c>
      <c r="C23" s="25">
        <f>Costs!$B$37</f>
        <v/>
      </c>
      <c r="D23" s="25">
        <f>Costs!$B$37</f>
        <v/>
      </c>
      <c r="E23" s="25">
        <f>Costs!$B$37</f>
        <v/>
      </c>
      <c r="F23" s="25">
        <f>Costs!$B$37</f>
        <v/>
      </c>
      <c r="G23" s="25">
        <f>Costs!$B$37</f>
        <v/>
      </c>
      <c r="H23" s="25">
        <f>Costs!$B$37</f>
        <v/>
      </c>
      <c r="I23" s="25">
        <f>Costs!$B$37</f>
        <v/>
      </c>
      <c r="J23" s="25">
        <f>Costs!$B$37</f>
        <v/>
      </c>
      <c r="K23" s="25">
        <f>Costs!$B$37</f>
        <v/>
      </c>
      <c r="L23" s="25">
        <f>Costs!$B$37</f>
        <v/>
      </c>
      <c r="M23" s="25">
        <f>Costs!$B$37</f>
        <v/>
      </c>
      <c r="N23" s="25">
        <f>Costs!$B$37</f>
        <v/>
      </c>
      <c r="O23" s="25">
        <f>Costs!$B$37</f>
        <v/>
      </c>
      <c r="P23" s="25">
        <f>Costs!$B$37</f>
        <v/>
      </c>
      <c r="Q23" s="25">
        <f>Costs!$B$37</f>
        <v/>
      </c>
      <c r="R23" s="25">
        <f>Costs!$B$37</f>
        <v/>
      </c>
      <c r="S23" s="25">
        <f>Costs!$B$37</f>
        <v/>
      </c>
      <c r="T23" s="25">
        <f>Costs!$B$37</f>
        <v/>
      </c>
      <c r="U23" s="25">
        <f>Costs!$B$37</f>
        <v/>
      </c>
      <c r="V23" s="25">
        <f>Costs!$B$37</f>
        <v/>
      </c>
      <c r="W23" s="25">
        <f>Costs!$B$37</f>
        <v/>
      </c>
      <c r="X23" s="25">
        <f>Costs!$B$37</f>
        <v/>
      </c>
      <c r="Y23" s="25">
        <f>Costs!$B$37</f>
        <v/>
      </c>
      <c r="Z23" s="18">
        <f>SUM(B23:Y23)</f>
        <v/>
      </c>
    </row>
    <row r="24">
      <c r="A24" s="9" t="inlineStr">
        <is>
          <t>Managing agent compensation</t>
        </is>
      </c>
      <c r="B24" s="25">
        <f>'Managing Agent'!B$30</f>
        <v/>
      </c>
      <c r="C24" s="25">
        <f>'Managing Agent'!C$30</f>
        <v/>
      </c>
      <c r="D24" s="25">
        <f>'Managing Agent'!D$30</f>
        <v/>
      </c>
      <c r="E24" s="25">
        <f>'Managing Agent'!E$30</f>
        <v/>
      </c>
      <c r="F24" s="25">
        <f>'Managing Agent'!F$30</f>
        <v/>
      </c>
      <c r="G24" s="25">
        <f>'Managing Agent'!G$30</f>
        <v/>
      </c>
      <c r="H24" s="25">
        <f>'Managing Agent'!H$30</f>
        <v/>
      </c>
      <c r="I24" s="25">
        <f>'Managing Agent'!I$30</f>
        <v/>
      </c>
      <c r="J24" s="25">
        <f>'Managing Agent'!J$30</f>
        <v/>
      </c>
      <c r="K24" s="25">
        <f>'Managing Agent'!K$30</f>
        <v/>
      </c>
      <c r="L24" s="25">
        <f>'Managing Agent'!L$30</f>
        <v/>
      </c>
      <c r="M24" s="25">
        <f>'Managing Agent'!M$30</f>
        <v/>
      </c>
      <c r="N24" s="25">
        <f>'Managing Agent'!N$30</f>
        <v/>
      </c>
      <c r="O24" s="25">
        <f>'Managing Agent'!O$30</f>
        <v/>
      </c>
      <c r="P24" s="25">
        <f>'Managing Agent'!P$30</f>
        <v/>
      </c>
      <c r="Q24" s="25">
        <f>'Managing Agent'!Q$30</f>
        <v/>
      </c>
      <c r="R24" s="25">
        <f>'Managing Agent'!R$30</f>
        <v/>
      </c>
      <c r="S24" s="25">
        <f>'Managing Agent'!S$30</f>
        <v/>
      </c>
      <c r="T24" s="25">
        <f>'Managing Agent'!T$30</f>
        <v/>
      </c>
      <c r="U24" s="25">
        <f>'Managing Agent'!U$30</f>
        <v/>
      </c>
      <c r="V24" s="25">
        <f>'Managing Agent'!V$30</f>
        <v/>
      </c>
      <c r="W24" s="25">
        <f>'Managing Agent'!W$30</f>
        <v/>
      </c>
      <c r="X24" s="25">
        <f>'Managing Agent'!X$30</f>
        <v/>
      </c>
      <c r="Y24" s="25">
        <f>'Managing Agent'!Y$30</f>
        <v/>
      </c>
      <c r="Z24" s="18">
        <f>SUM(B24:Y24)</f>
        <v/>
      </c>
    </row>
    <row r="25">
      <c r="A25" s="5" t="inlineStr">
        <is>
          <t>Total cost</t>
        </is>
      </c>
      <c r="B25" s="18">
        <f>SUM(B20:B24)</f>
        <v/>
      </c>
      <c r="C25" s="18">
        <f>SUM(C20:C24)</f>
        <v/>
      </c>
      <c r="D25" s="18">
        <f>SUM(D20:D24)</f>
        <v/>
      </c>
      <c r="E25" s="18">
        <f>SUM(E20:E24)</f>
        <v/>
      </c>
      <c r="F25" s="18">
        <f>SUM(F20:F24)</f>
        <v/>
      </c>
      <c r="G25" s="18">
        <f>SUM(G20:G24)</f>
        <v/>
      </c>
      <c r="H25" s="18">
        <f>SUM(H20:H24)</f>
        <v/>
      </c>
      <c r="I25" s="18">
        <f>SUM(I20:I24)</f>
        <v/>
      </c>
      <c r="J25" s="18">
        <f>SUM(J20:J24)</f>
        <v/>
      </c>
      <c r="K25" s="18">
        <f>SUM(K20:K24)</f>
        <v/>
      </c>
      <c r="L25" s="18">
        <f>SUM(L20:L24)</f>
        <v/>
      </c>
      <c r="M25" s="18">
        <f>SUM(M20:M24)</f>
        <v/>
      </c>
      <c r="N25" s="18">
        <f>SUM(N20:N24)</f>
        <v/>
      </c>
      <c r="O25" s="18">
        <f>SUM(O20:O24)</f>
        <v/>
      </c>
      <c r="P25" s="18">
        <f>SUM(P20:P24)</f>
        <v/>
      </c>
      <c r="Q25" s="18">
        <f>SUM(Q20:Q24)</f>
        <v/>
      </c>
      <c r="R25" s="18">
        <f>SUM(R20:R24)</f>
        <v/>
      </c>
      <c r="S25" s="18">
        <f>SUM(S20:S24)</f>
        <v/>
      </c>
      <c r="T25" s="18">
        <f>SUM(T20:T24)</f>
        <v/>
      </c>
      <c r="U25" s="18">
        <f>SUM(U20:U24)</f>
        <v/>
      </c>
      <c r="V25" s="18">
        <f>SUM(V20:V24)</f>
        <v/>
      </c>
      <c r="W25" s="18">
        <f>SUM(W20:W24)</f>
        <v/>
      </c>
      <c r="X25" s="18">
        <f>SUM(X20:X24)</f>
        <v/>
      </c>
      <c r="Y25" s="18">
        <f>SUM(Y20:Y24)</f>
        <v/>
      </c>
      <c r="Z25" s="18">
        <f>SUM(B25:Y25)</f>
        <v/>
      </c>
    </row>
    <row r="27">
      <c r="A27" s="5" t="inlineStr">
        <is>
          <t>EBITDA</t>
        </is>
      </c>
      <c r="B27" s="18">
        <f>B16-B25</f>
        <v/>
      </c>
      <c r="C27" s="18">
        <f>C16-C25</f>
        <v/>
      </c>
      <c r="D27" s="18">
        <f>D16-D25</f>
        <v/>
      </c>
      <c r="E27" s="18">
        <f>E16-E25</f>
        <v/>
      </c>
      <c r="F27" s="18">
        <f>F16-F25</f>
        <v/>
      </c>
      <c r="G27" s="18">
        <f>G16-G25</f>
        <v/>
      </c>
      <c r="H27" s="18">
        <f>H16-H25</f>
        <v/>
      </c>
      <c r="I27" s="18">
        <f>I16-I25</f>
        <v/>
      </c>
      <c r="J27" s="18">
        <f>J16-J25</f>
        <v/>
      </c>
      <c r="K27" s="18">
        <f>K16-K25</f>
        <v/>
      </c>
      <c r="L27" s="18">
        <f>L16-L25</f>
        <v/>
      </c>
      <c r="M27" s="18">
        <f>M16-M25</f>
        <v/>
      </c>
      <c r="N27" s="18">
        <f>N16-N25</f>
        <v/>
      </c>
      <c r="O27" s="18">
        <f>O16-O25</f>
        <v/>
      </c>
      <c r="P27" s="18">
        <f>P16-P25</f>
        <v/>
      </c>
      <c r="Q27" s="18">
        <f>Q16-Q25</f>
        <v/>
      </c>
      <c r="R27" s="18">
        <f>R16-R25</f>
        <v/>
      </c>
      <c r="S27" s="18">
        <f>S16-S25</f>
        <v/>
      </c>
      <c r="T27" s="18">
        <f>T16-T25</f>
        <v/>
      </c>
      <c r="U27" s="18">
        <f>U16-U25</f>
        <v/>
      </c>
      <c r="V27" s="18">
        <f>V16-V25</f>
        <v/>
      </c>
      <c r="W27" s="18">
        <f>W16-W25</f>
        <v/>
      </c>
      <c r="X27" s="18">
        <f>X16-X25</f>
        <v/>
      </c>
      <c r="Y27" s="18">
        <f>Y16-Y25</f>
        <v/>
      </c>
      <c r="Z27" s="18">
        <f>SUM(B27:Y27)</f>
        <v/>
      </c>
    </row>
    <row r="28">
      <c r="A28" s="5" t="inlineStr">
        <is>
          <t>Cumulative EBITDA</t>
        </is>
      </c>
      <c r="B28" s="18">
        <f>B27</f>
        <v/>
      </c>
      <c r="C28" s="18">
        <f>B28+C27</f>
        <v/>
      </c>
      <c r="D28" s="18">
        <f>C28+D27</f>
        <v/>
      </c>
      <c r="E28" s="18">
        <f>D28+E27</f>
        <v/>
      </c>
      <c r="F28" s="18">
        <f>E28+F27</f>
        <v/>
      </c>
      <c r="G28" s="18">
        <f>F28+G27</f>
        <v/>
      </c>
      <c r="H28" s="18">
        <f>G28+H27</f>
        <v/>
      </c>
      <c r="I28" s="18">
        <f>H28+I27</f>
        <v/>
      </c>
      <c r="J28" s="18">
        <f>I28+J27</f>
        <v/>
      </c>
      <c r="K28" s="18">
        <f>J28+K27</f>
        <v/>
      </c>
      <c r="L28" s="18">
        <f>K28+L27</f>
        <v/>
      </c>
      <c r="M28" s="18">
        <f>L28+M27</f>
        <v/>
      </c>
      <c r="N28" s="18">
        <f>M28+N27</f>
        <v/>
      </c>
      <c r="O28" s="18">
        <f>N28+O27</f>
        <v/>
      </c>
      <c r="P28" s="18">
        <f>O28+P27</f>
        <v/>
      </c>
      <c r="Q28" s="18">
        <f>P28+Q27</f>
        <v/>
      </c>
      <c r="R28" s="18">
        <f>Q28+R27</f>
        <v/>
      </c>
      <c r="S28" s="18">
        <f>R28+S27</f>
        <v/>
      </c>
      <c r="T28" s="18">
        <f>S28+T27</f>
        <v/>
      </c>
      <c r="U28" s="18">
        <f>T28+U27</f>
        <v/>
      </c>
      <c r="V28" s="18">
        <f>U28+V27</f>
        <v/>
      </c>
      <c r="W28" s="18">
        <f>V28+W27</f>
        <v/>
      </c>
      <c r="X28" s="18">
        <f>W28+X27</f>
        <v/>
      </c>
      <c r="Y28" s="18">
        <f>X28+Y27</f>
        <v/>
      </c>
      <c r="Z28" s="18">
        <f>Y28</f>
        <v/>
      </c>
    </row>
    <row r="29">
      <c r="A29" s="9" t="inlineStr">
        <is>
          <t>EBITDA margin</t>
        </is>
      </c>
      <c r="B29" s="26">
        <f>IFERROR(B27/B16,0)</f>
        <v/>
      </c>
      <c r="C29" s="26">
        <f>IFERROR(C27/C16,0)</f>
        <v/>
      </c>
      <c r="D29" s="26">
        <f>IFERROR(D27/D16,0)</f>
        <v/>
      </c>
      <c r="E29" s="26">
        <f>IFERROR(E27/E16,0)</f>
        <v/>
      </c>
      <c r="F29" s="26">
        <f>IFERROR(F27/F16,0)</f>
        <v/>
      </c>
      <c r="G29" s="26">
        <f>IFERROR(G27/G16,0)</f>
        <v/>
      </c>
      <c r="H29" s="26">
        <f>IFERROR(H27/H16,0)</f>
        <v/>
      </c>
      <c r="I29" s="26">
        <f>IFERROR(I27/I16,0)</f>
        <v/>
      </c>
      <c r="J29" s="26">
        <f>IFERROR(J27/J16,0)</f>
        <v/>
      </c>
      <c r="K29" s="26">
        <f>IFERROR(K27/K16,0)</f>
        <v/>
      </c>
      <c r="L29" s="26">
        <f>IFERROR(L27/L16,0)</f>
        <v/>
      </c>
      <c r="M29" s="26">
        <f>IFERROR(M27/M16,0)</f>
        <v/>
      </c>
      <c r="N29" s="26">
        <f>IFERROR(N27/N16,0)</f>
        <v/>
      </c>
      <c r="O29" s="26">
        <f>IFERROR(O27/O16,0)</f>
        <v/>
      </c>
      <c r="P29" s="26">
        <f>IFERROR(P27/P16,0)</f>
        <v/>
      </c>
      <c r="Q29" s="26">
        <f>IFERROR(Q27/Q16,0)</f>
        <v/>
      </c>
      <c r="R29" s="26">
        <f>IFERROR(R27/R16,0)</f>
        <v/>
      </c>
      <c r="S29" s="26">
        <f>IFERROR(S27/S16,0)</f>
        <v/>
      </c>
      <c r="T29" s="26">
        <f>IFERROR(T27/T16,0)</f>
        <v/>
      </c>
      <c r="U29" s="26">
        <f>IFERROR(U27/U16,0)</f>
        <v/>
      </c>
      <c r="V29" s="26">
        <f>IFERROR(V27/V16,0)</f>
        <v/>
      </c>
      <c r="W29" s="26">
        <f>IFERROR(W27/W16,0)</f>
        <v/>
      </c>
      <c r="X29" s="26">
        <f>IFERROR(X27/X16,0)</f>
        <v/>
      </c>
      <c r="Y29" s="26">
        <f>IFERROR(Y27/Y16,0)</f>
        <v/>
      </c>
      <c r="Z29" s="16">
        <f>IFERROR(Z27/Z16,0)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46" customWidth="1" min="4" max="4"/>
  </cols>
  <sheetData>
    <row r="1" ht="22" customHeight="1">
      <c r="A1" s="1" t="inlineStr">
        <is>
          <t>Unit economics</t>
        </is>
      </c>
    </row>
    <row r="2">
      <c r="A2" s="4" t="inlineStr">
        <is>
          <t>What one transaction and one agent are actually worth at the selected architecture.</t>
        </is>
      </c>
    </row>
    <row r="3">
      <c r="A3" s="19" t="inlineStr">
        <is>
          <t>Per transaction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</row>
    <row r="4">
      <c r="A4" s="9" t="inlineStr">
        <is>
          <t>Revenue — transaction fee</t>
        </is>
      </c>
      <c r="B4" s="27">
        <f>Tiers!$B$22</f>
        <v/>
      </c>
    </row>
    <row r="5">
      <c r="A5" s="9" t="inlineStr">
        <is>
          <t>Cost — compliance, file, banking</t>
        </is>
      </c>
      <c r="B5" s="27">
        <f>-(Costs!$B$44+Costs!$B$45)</f>
        <v/>
      </c>
    </row>
    <row r="6">
      <c r="A6" s="9" t="inlineStr">
        <is>
          <t>Cost — transaction coordination (weighted)</t>
        </is>
      </c>
      <c r="B6" s="27">
        <f>-Tiers!$B$25*Costs!$B$46</f>
        <v/>
      </c>
    </row>
    <row r="7">
      <c r="A7" s="5" t="inlineStr">
        <is>
          <t>Contribution — buyer-side transaction</t>
        </is>
      </c>
      <c r="B7" s="21">
        <f>SUM(B4:B6)</f>
        <v/>
      </c>
      <c r="C7" s="9" t="inlineStr"/>
      <c r="D7" s="12" t="inlineStr">
        <is>
          <t>No media on the buyer side. This is the profitable half.</t>
        </is>
      </c>
    </row>
    <row r="9">
      <c r="A9" s="9" t="inlineStr">
        <is>
          <t>Media package cost per listing</t>
        </is>
      </c>
      <c r="B9" s="27">
        <f>-Costs!$B$23</f>
        <v/>
      </c>
    </row>
    <row r="10">
      <c r="A10" s="9" t="inlineStr">
        <is>
          <t>Media billed back to the agent</t>
        </is>
      </c>
      <c r="B10" s="27">
        <f>MAX(0,Costs!$B$23-Tiers!$B$23)</f>
        <v/>
      </c>
    </row>
    <row r="11">
      <c r="A11" s="5" t="inlineStr">
        <is>
          <t>Contribution — listing-side transaction</t>
        </is>
      </c>
      <c r="B11" s="21">
        <f>B7+B9+B10</f>
        <v/>
      </c>
      <c r="D11" s="12" t="inlineStr">
        <is>
          <t>Negative here means every listing is a loss. That is the test.</t>
        </is>
      </c>
    </row>
    <row r="13">
      <c r="A13" s="5" t="inlineStr">
        <is>
          <t>Blended contribution per transaction</t>
        </is>
      </c>
      <c r="B13" s="21">
        <f>B7*(1-Scenarios!$E$11)+B11*Scenarios!$E$11</f>
        <v/>
      </c>
    </row>
    <row r="15">
      <c r="A15" s="19" t="inlineStr">
        <is>
          <t>Per agent, per month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>
      <c r="A16" s="9" t="inlineStr">
        <is>
          <t>Membership fee</t>
        </is>
      </c>
      <c r="B16" s="27">
        <f>Tiers!$B$21</f>
        <v/>
      </c>
    </row>
    <row r="17">
      <c r="A17" s="9" t="inlineStr">
        <is>
          <t>Seat cost</t>
        </is>
      </c>
      <c r="B17" s="27">
        <f>-(Costs!$B$41+Tiers!$B$24*Costs!$B$40)</f>
        <v/>
      </c>
    </row>
    <row r="18">
      <c r="A18" s="9" t="inlineStr">
        <is>
          <t>Contribution from transactions</t>
        </is>
      </c>
      <c r="B18" s="27">
        <f>Scenarios!$E$10*B13</f>
        <v/>
      </c>
    </row>
    <row r="19">
      <c r="A19" s="5" t="inlineStr">
        <is>
          <t>Contribution per agent per month</t>
        </is>
      </c>
      <c r="B19" s="21">
        <f>SUM(B16:B18)</f>
        <v/>
      </c>
    </row>
    <row r="20">
      <c r="A20" s="5" t="inlineStr">
        <is>
          <t>Contribution per agent per year</t>
        </is>
      </c>
      <c r="B20" s="21">
        <f>B19*12</f>
        <v/>
      </c>
    </row>
    <row r="22">
      <c r="A22" s="19" t="inlineStr">
        <is>
          <t>Break-even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</row>
    <row r="23">
      <c r="A23" s="9" t="inlineStr">
        <is>
          <t>Fixed overhead per month</t>
        </is>
      </c>
      <c r="B23" s="28">
        <f>Costs!$B$37</f>
        <v/>
      </c>
    </row>
    <row r="24">
      <c r="A24" s="9" t="inlineStr">
        <is>
          <t>Managing agent cost per month (year 1 average)</t>
        </is>
      </c>
      <c r="B24" s="28">
        <f>AVERAGE('Managing Agent'!B30:M30)</f>
        <v/>
      </c>
    </row>
    <row r="25">
      <c r="A25" s="5" t="inlineStr">
        <is>
          <t>Agents required to break even</t>
        </is>
      </c>
      <c r="B25" s="14">
        <f>IF(B19&lt;=0,"never",(B23+B24)/B19)</f>
        <v/>
      </c>
      <c r="D25" s="12" t="inlineStr">
        <is>
          <t>If this says never, the architecture loses money on every agent and no amount of recruiting fixes it.</t>
        </is>
      </c>
    </row>
    <row r="26">
      <c r="A26" s="5" t="inlineStr">
        <is>
          <t>Transactions per month required to break even</t>
        </is>
      </c>
      <c r="B26" s="14">
        <f>IF(B13&lt;=0,"never",(B23+B24)/B13)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</cols>
  <sheetData>
    <row r="1" ht="22" customHeight="1">
      <c r="A1" s="1" t="inlineStr">
        <is>
          <t>Paying the managing agent</t>
        </is>
      </c>
    </row>
    <row r="2">
      <c r="A2" s="4" t="inlineStr">
        <is>
          <t>Three structures. Switch in B3. Row 30 feeds the P&amp;L.</t>
        </is>
      </c>
    </row>
    <row r="3">
      <c r="A3" s="5" t="inlineStr">
        <is>
          <t>Selected structure</t>
        </is>
      </c>
      <c r="B3" s="29" t="inlineStr">
        <is>
          <t>2. Override + mentor split</t>
        </is>
      </c>
    </row>
    <row r="5">
      <c r="A5" s="9" t="inlineStr">
        <is>
          <t>Recruiting override per closed transaction</t>
        </is>
      </c>
      <c r="B5" s="17" t="n">
        <v>60</v>
      </c>
      <c r="D5" s="12" t="inlineStr">
        <is>
          <t>Paid on every transaction closed by an agent she recruited, for the life of that agent.</t>
        </is>
      </c>
    </row>
    <row r="6">
      <c r="A6" s="9" t="inlineStr">
        <is>
          <t>Share of agents credited to her recruiting</t>
        </is>
      </c>
      <c r="B6" s="15" t="n">
        <v>0.7</v>
      </c>
      <c r="D6" s="12" t="inlineStr">
        <is>
          <t>She is the recruiter; you are the broker. Be honest about who sources whom.</t>
        </is>
      </c>
    </row>
    <row r="7">
      <c r="A7" s="9" t="inlineStr">
        <is>
          <t>Mentor split — share of mentee commission</t>
        </is>
      </c>
      <c r="B7" s="15" t="n">
        <v>0.2</v>
      </c>
      <c r="D7" s="12" t="inlineStr">
        <is>
          <t>Paid by the MENTEE out of their own commission, not by the brokerage. The brokerage collects and passes it through.</t>
        </is>
      </c>
    </row>
    <row r="8">
      <c r="A8" s="9" t="inlineStr">
        <is>
          <t>Mentee transactions covered</t>
        </is>
      </c>
      <c r="B8" s="10" t="n">
        <v>3</v>
      </c>
      <c r="D8" s="12" t="inlineStr">
        <is>
          <t>First three closings. After that the agent is on their own.</t>
        </is>
      </c>
    </row>
    <row r="9">
      <c r="A9" s="9" t="inlineStr">
        <is>
          <t>Share of new agents needing a mentor</t>
        </is>
      </c>
      <c r="B9" s="15" t="n">
        <v>0.5</v>
      </c>
      <c r="D9" s="12" t="inlineStr">
        <is>
          <t>Newly licensed or returning agents.</t>
        </is>
      </c>
    </row>
    <row r="10">
      <c r="A10" s="9" t="inlineStr">
        <is>
          <t>Average commission per side to the agent</t>
        </is>
      </c>
      <c r="B10" s="17" t="n">
        <v>7750</v>
      </c>
      <c r="D10" s="12" t="inlineStr">
        <is>
          <t>2.5% of the average sale price. Drives the mentor split.</t>
        </is>
      </c>
    </row>
    <row r="11">
      <c r="A11" s="9" t="inlineStr">
        <is>
          <t>Monthly base (structure 3 only)</t>
        </is>
      </c>
      <c r="B11" s="17" t="n">
        <v>1500</v>
      </c>
      <c r="D11" s="12" t="inlineStr">
        <is>
          <t>See the note below before you choose this.</t>
        </is>
      </c>
    </row>
    <row r="13">
      <c r="A13" s="30" t="inlineStr">
        <is>
          <t>A fixed monthly base is the one that can cost you the 1099</t>
        </is>
      </c>
    </row>
    <row r="14">
      <c r="A14" s="4" t="inlineStr">
        <is>
          <t>IRC s. 3508 requires that substantially all of a real estate agent's pay be tied to output rather than hours.</t>
        </is>
      </c>
    </row>
    <row r="15">
      <c r="A15" s="4" t="inlineStr">
        <is>
          <t>A flat monthly base paid to a licensed agent cuts against that, and if her classification falls, every agent's</t>
        </is>
      </c>
    </row>
    <row r="16">
      <c r="A16" s="4" t="inlineStr">
        <is>
          <t>classification is open to the same question. If you want to pay her a base, pay it to an entity she forms for</t>
        </is>
      </c>
    </row>
    <row r="17">
      <c r="A17" s="4" t="inlineStr">
        <is>
          <t>management services, under a separate written agreement, and keep it away from her license income.</t>
        </is>
      </c>
    </row>
    <row r="20">
      <c r="A20" s="5" t="inlineStr">
        <is>
          <t>Month</t>
        </is>
      </c>
      <c r="B20" s="22" t="n">
        <v>1</v>
      </c>
      <c r="C20" s="22" t="n">
        <v>2</v>
      </c>
      <c r="D20" s="22" t="n">
        <v>3</v>
      </c>
      <c r="E20" s="22" t="n">
        <v>4</v>
      </c>
      <c r="F20" s="22" t="n">
        <v>5</v>
      </c>
      <c r="G20" s="22" t="n">
        <v>6</v>
      </c>
      <c r="H20" s="22" t="n">
        <v>7</v>
      </c>
      <c r="I20" s="22" t="n">
        <v>8</v>
      </c>
      <c r="J20" s="22" t="n">
        <v>9</v>
      </c>
      <c r="K20" s="22" t="n">
        <v>10</v>
      </c>
      <c r="L20" s="22" t="n">
        <v>11</v>
      </c>
      <c r="M20" s="22" t="n">
        <v>12</v>
      </c>
      <c r="N20" s="22" t="n">
        <v>13</v>
      </c>
      <c r="O20" s="22" t="n">
        <v>14</v>
      </c>
      <c r="P20" s="22" t="n">
        <v>15</v>
      </c>
      <c r="Q20" s="22" t="n">
        <v>16</v>
      </c>
      <c r="R20" s="22" t="n">
        <v>17</v>
      </c>
      <c r="S20" s="22" t="n">
        <v>18</v>
      </c>
      <c r="T20" s="22" t="n">
        <v>19</v>
      </c>
      <c r="U20" s="22" t="n">
        <v>20</v>
      </c>
      <c r="V20" s="22" t="n">
        <v>21</v>
      </c>
      <c r="W20" s="22" t="n">
        <v>22</v>
      </c>
      <c r="X20" s="22" t="n">
        <v>23</v>
      </c>
      <c r="Y20" s="22" t="n">
        <v>24</v>
      </c>
      <c r="Z20" s="23" t="inlineStr">
        <is>
          <t>Total</t>
        </is>
      </c>
    </row>
    <row r="21">
      <c r="A21" s="9" t="inlineStr">
        <is>
          <t>Transactions by her recruits</t>
        </is>
      </c>
      <c r="B21" s="24">
        <f>P&amp;L!B8*$B$6</f>
        <v/>
      </c>
      <c r="C21" s="24">
        <f>P&amp;L!C8*$B$6</f>
        <v/>
      </c>
      <c r="D21" s="24">
        <f>P&amp;L!D8*$B$6</f>
        <v/>
      </c>
      <c r="E21" s="24">
        <f>P&amp;L!E8*$B$6</f>
        <v/>
      </c>
      <c r="F21" s="24">
        <f>P&amp;L!F8*$B$6</f>
        <v/>
      </c>
      <c r="G21" s="24">
        <f>P&amp;L!G8*$B$6</f>
        <v/>
      </c>
      <c r="H21" s="24">
        <f>P&amp;L!H8*$B$6</f>
        <v/>
      </c>
      <c r="I21" s="24">
        <f>P&amp;L!I8*$B$6</f>
        <v/>
      </c>
      <c r="J21" s="24">
        <f>P&amp;L!J8*$B$6</f>
        <v/>
      </c>
      <c r="K21" s="24">
        <f>P&amp;L!K8*$B$6</f>
        <v/>
      </c>
      <c r="L21" s="24">
        <f>P&amp;L!L8*$B$6</f>
        <v/>
      </c>
      <c r="M21" s="24">
        <f>P&amp;L!M8*$B$6</f>
        <v/>
      </c>
      <c r="N21" s="24">
        <f>P&amp;L!N8*$B$6</f>
        <v/>
      </c>
      <c r="O21" s="24">
        <f>P&amp;L!O8*$B$6</f>
        <v/>
      </c>
      <c r="P21" s="24">
        <f>P&amp;L!P8*$B$6</f>
        <v/>
      </c>
      <c r="Q21" s="24">
        <f>P&amp;L!Q8*$B$6</f>
        <v/>
      </c>
      <c r="R21" s="24">
        <f>P&amp;L!R8*$B$6</f>
        <v/>
      </c>
      <c r="S21" s="24">
        <f>P&amp;L!S8*$B$6</f>
        <v/>
      </c>
      <c r="T21" s="24">
        <f>P&amp;L!T8*$B$6</f>
        <v/>
      </c>
      <c r="U21" s="24">
        <f>P&amp;L!U8*$B$6</f>
        <v/>
      </c>
      <c r="V21" s="24">
        <f>P&amp;L!V8*$B$6</f>
        <v/>
      </c>
      <c r="W21" s="24">
        <f>P&amp;L!W8*$B$6</f>
        <v/>
      </c>
      <c r="X21" s="24">
        <f>P&amp;L!X8*$B$6</f>
        <v/>
      </c>
      <c r="Y21" s="24">
        <f>P&amp;L!Y8*$B$6</f>
        <v/>
      </c>
      <c r="Z21" s="14">
        <f>SUM(B21:Y21)</f>
        <v/>
      </c>
    </row>
    <row r="22">
      <c r="A22" s="9" t="inlineStr">
        <is>
          <t>Recruiting override</t>
        </is>
      </c>
      <c r="B22" s="25">
        <f>B21*$B$5</f>
        <v/>
      </c>
      <c r="C22" s="25">
        <f>C21*$B$5</f>
        <v/>
      </c>
      <c r="D22" s="25">
        <f>D21*$B$5</f>
        <v/>
      </c>
      <c r="E22" s="25">
        <f>E21*$B$5</f>
        <v/>
      </c>
      <c r="F22" s="25">
        <f>F21*$B$5</f>
        <v/>
      </c>
      <c r="G22" s="25">
        <f>G21*$B$5</f>
        <v/>
      </c>
      <c r="H22" s="25">
        <f>H21*$B$5</f>
        <v/>
      </c>
      <c r="I22" s="25">
        <f>I21*$B$5</f>
        <v/>
      </c>
      <c r="J22" s="25">
        <f>J21*$B$5</f>
        <v/>
      </c>
      <c r="K22" s="25">
        <f>K21*$B$5</f>
        <v/>
      </c>
      <c r="L22" s="25">
        <f>L21*$B$5</f>
        <v/>
      </c>
      <c r="M22" s="25">
        <f>M21*$B$5</f>
        <v/>
      </c>
      <c r="N22" s="25">
        <f>N21*$B$5</f>
        <v/>
      </c>
      <c r="O22" s="25">
        <f>O21*$B$5</f>
        <v/>
      </c>
      <c r="P22" s="25">
        <f>P21*$B$5</f>
        <v/>
      </c>
      <c r="Q22" s="25">
        <f>Q21*$B$5</f>
        <v/>
      </c>
      <c r="R22" s="25">
        <f>R21*$B$5</f>
        <v/>
      </c>
      <c r="S22" s="25">
        <f>S21*$B$5</f>
        <v/>
      </c>
      <c r="T22" s="25">
        <f>T21*$B$5</f>
        <v/>
      </c>
      <c r="U22" s="25">
        <f>U21*$B$5</f>
        <v/>
      </c>
      <c r="V22" s="25">
        <f>V21*$B$5</f>
        <v/>
      </c>
      <c r="W22" s="25">
        <f>W21*$B$5</f>
        <v/>
      </c>
      <c r="X22" s="25">
        <f>X21*$B$5</f>
        <v/>
      </c>
      <c r="Y22" s="25">
        <f>Y21*$B$5</f>
        <v/>
      </c>
      <c r="Z22" s="18">
        <f>SUM(B22:Y22)</f>
        <v/>
      </c>
    </row>
    <row r="23">
      <c r="A23" s="9" t="inlineStr">
        <is>
          <t>New agents this month</t>
        </is>
      </c>
      <c r="B23" s="24">
        <f>0</f>
        <v/>
      </c>
      <c r="C23" s="24">
        <f>MAX(0,P&amp;L!C7-P&amp;L!B7)</f>
        <v/>
      </c>
      <c r="D23" s="24">
        <f>MAX(0,P&amp;L!D7-P&amp;L!C7)</f>
        <v/>
      </c>
      <c r="E23" s="24">
        <f>MAX(0,P&amp;L!E7-P&amp;L!D7)</f>
        <v/>
      </c>
      <c r="F23" s="24">
        <f>MAX(0,P&amp;L!F7-P&amp;L!E7)</f>
        <v/>
      </c>
      <c r="G23" s="24">
        <f>MAX(0,P&amp;L!G7-P&amp;L!F7)</f>
        <v/>
      </c>
      <c r="H23" s="24">
        <f>MAX(0,P&amp;L!H7-P&amp;L!G7)</f>
        <v/>
      </c>
      <c r="I23" s="24">
        <f>MAX(0,P&amp;L!I7-P&amp;L!H7)</f>
        <v/>
      </c>
      <c r="J23" s="24">
        <f>MAX(0,P&amp;L!J7-P&amp;L!I7)</f>
        <v/>
      </c>
      <c r="K23" s="24">
        <f>MAX(0,P&amp;L!K7-P&amp;L!J7)</f>
        <v/>
      </c>
      <c r="L23" s="24">
        <f>MAX(0,P&amp;L!L7-P&amp;L!K7)</f>
        <v/>
      </c>
      <c r="M23" s="24">
        <f>MAX(0,P&amp;L!M7-P&amp;L!L7)</f>
        <v/>
      </c>
      <c r="N23" s="24">
        <f>MAX(0,P&amp;L!N7-P&amp;L!M7)</f>
        <v/>
      </c>
      <c r="O23" s="24">
        <f>MAX(0,P&amp;L!O7-P&amp;L!N7)</f>
        <v/>
      </c>
      <c r="P23" s="24">
        <f>MAX(0,P&amp;L!P7-P&amp;L!O7)</f>
        <v/>
      </c>
      <c r="Q23" s="24">
        <f>MAX(0,P&amp;L!Q7-P&amp;L!P7)</f>
        <v/>
      </c>
      <c r="R23" s="24">
        <f>MAX(0,P&amp;L!R7-P&amp;L!Q7)</f>
        <v/>
      </c>
      <c r="S23" s="24">
        <f>MAX(0,P&amp;L!S7-P&amp;L!R7)</f>
        <v/>
      </c>
      <c r="T23" s="24">
        <f>MAX(0,P&amp;L!T7-P&amp;L!S7)</f>
        <v/>
      </c>
      <c r="U23" s="24">
        <f>MAX(0,P&amp;L!U7-P&amp;L!T7)</f>
        <v/>
      </c>
      <c r="V23" s="24">
        <f>MAX(0,P&amp;L!V7-P&amp;L!U7)</f>
        <v/>
      </c>
      <c r="W23" s="24">
        <f>MAX(0,P&amp;L!W7-P&amp;L!V7)</f>
        <v/>
      </c>
      <c r="X23" s="24">
        <f>MAX(0,P&amp;L!X7-P&amp;L!W7)</f>
        <v/>
      </c>
      <c r="Y23" s="24">
        <f>MAX(0,P&amp;L!Y7-P&amp;L!X7)</f>
        <v/>
      </c>
      <c r="Z23" s="14">
        <f>SUM(B23:Y23)</f>
        <v/>
      </c>
    </row>
    <row r="24">
      <c r="A24" s="9" t="inlineStr">
        <is>
          <t>Mentor split earned</t>
        </is>
      </c>
      <c r="B24" s="25">
        <f>B23*$B$9*$B$8*$B$10*$B$7</f>
        <v/>
      </c>
      <c r="C24" s="25">
        <f>C23*$B$9*$B$8*$B$10*$B$7</f>
        <v/>
      </c>
      <c r="D24" s="25">
        <f>D23*$B$9*$B$8*$B$10*$B$7</f>
        <v/>
      </c>
      <c r="E24" s="25">
        <f>E23*$B$9*$B$8*$B$10*$B$7</f>
        <v/>
      </c>
      <c r="F24" s="25">
        <f>F23*$B$9*$B$8*$B$10*$B$7</f>
        <v/>
      </c>
      <c r="G24" s="25">
        <f>G23*$B$9*$B$8*$B$10*$B$7</f>
        <v/>
      </c>
      <c r="H24" s="25">
        <f>H23*$B$9*$B$8*$B$10*$B$7</f>
        <v/>
      </c>
      <c r="I24" s="25">
        <f>I23*$B$9*$B$8*$B$10*$B$7</f>
        <v/>
      </c>
      <c r="J24" s="25">
        <f>J23*$B$9*$B$8*$B$10*$B$7</f>
        <v/>
      </c>
      <c r="K24" s="25">
        <f>K23*$B$9*$B$8*$B$10*$B$7</f>
        <v/>
      </c>
      <c r="L24" s="25">
        <f>L23*$B$9*$B$8*$B$10*$B$7</f>
        <v/>
      </c>
      <c r="M24" s="25">
        <f>M23*$B$9*$B$8*$B$10*$B$7</f>
        <v/>
      </c>
      <c r="N24" s="25">
        <f>N23*$B$9*$B$8*$B$10*$B$7</f>
        <v/>
      </c>
      <c r="O24" s="25">
        <f>O23*$B$9*$B$8*$B$10*$B$7</f>
        <v/>
      </c>
      <c r="P24" s="25">
        <f>P23*$B$9*$B$8*$B$10*$B$7</f>
        <v/>
      </c>
      <c r="Q24" s="25">
        <f>Q23*$B$9*$B$8*$B$10*$B$7</f>
        <v/>
      </c>
      <c r="R24" s="25">
        <f>R23*$B$9*$B$8*$B$10*$B$7</f>
        <v/>
      </c>
      <c r="S24" s="25">
        <f>S23*$B$9*$B$8*$B$10*$B$7</f>
        <v/>
      </c>
      <c r="T24" s="25">
        <f>T23*$B$9*$B$8*$B$10*$B$7</f>
        <v/>
      </c>
      <c r="U24" s="25">
        <f>U23*$B$9*$B$8*$B$10*$B$7</f>
        <v/>
      </c>
      <c r="V24" s="25">
        <f>V23*$B$9*$B$8*$B$10*$B$7</f>
        <v/>
      </c>
      <c r="W24" s="25">
        <f>W23*$B$9*$B$8*$B$10*$B$7</f>
        <v/>
      </c>
      <c r="X24" s="25">
        <f>X23*$B$9*$B$8*$B$10*$B$7</f>
        <v/>
      </c>
      <c r="Y24" s="25">
        <f>Y23*$B$9*$B$8*$B$10*$B$7</f>
        <v/>
      </c>
      <c r="Z24" s="18">
        <f>SUM(B24:Y24)</f>
        <v/>
      </c>
    </row>
    <row r="25">
      <c r="A25" s="9" t="inlineStr">
        <is>
          <t>Base, if selected</t>
        </is>
      </c>
      <c r="B25" s="25">
        <f>IF($B$3="3. Base + override",$B$11,0)</f>
        <v/>
      </c>
      <c r="C25" s="25">
        <f>IF($B$3="3. Base + override",$B$11,0)</f>
        <v/>
      </c>
      <c r="D25" s="25">
        <f>IF($B$3="3. Base + override",$B$11,0)</f>
        <v/>
      </c>
      <c r="E25" s="25">
        <f>IF($B$3="3. Base + override",$B$11,0)</f>
        <v/>
      </c>
      <c r="F25" s="25">
        <f>IF($B$3="3. Base + override",$B$11,0)</f>
        <v/>
      </c>
      <c r="G25" s="25">
        <f>IF($B$3="3. Base + override",$B$11,0)</f>
        <v/>
      </c>
      <c r="H25" s="25">
        <f>IF($B$3="3. Base + override",$B$11,0)</f>
        <v/>
      </c>
      <c r="I25" s="25">
        <f>IF($B$3="3. Base + override",$B$11,0)</f>
        <v/>
      </c>
      <c r="J25" s="25">
        <f>IF($B$3="3. Base + override",$B$11,0)</f>
        <v/>
      </c>
      <c r="K25" s="25">
        <f>IF($B$3="3. Base + override",$B$11,0)</f>
        <v/>
      </c>
      <c r="L25" s="25">
        <f>IF($B$3="3. Base + override",$B$11,0)</f>
        <v/>
      </c>
      <c r="M25" s="25">
        <f>IF($B$3="3. Base + override",$B$11,0)</f>
        <v/>
      </c>
      <c r="N25" s="25">
        <f>IF($B$3="3. Base + override",$B$11,0)</f>
        <v/>
      </c>
      <c r="O25" s="25">
        <f>IF($B$3="3. Base + override",$B$11,0)</f>
        <v/>
      </c>
      <c r="P25" s="25">
        <f>IF($B$3="3. Base + override",$B$11,0)</f>
        <v/>
      </c>
      <c r="Q25" s="25">
        <f>IF($B$3="3. Base + override",$B$11,0)</f>
        <v/>
      </c>
      <c r="R25" s="25">
        <f>IF($B$3="3. Base + override",$B$11,0)</f>
        <v/>
      </c>
      <c r="S25" s="25">
        <f>IF($B$3="3. Base + override",$B$11,0)</f>
        <v/>
      </c>
      <c r="T25" s="25">
        <f>IF($B$3="3. Base + override",$B$11,0)</f>
        <v/>
      </c>
      <c r="U25" s="25">
        <f>IF($B$3="3. Base + override",$B$11,0)</f>
        <v/>
      </c>
      <c r="V25" s="25">
        <f>IF($B$3="3. Base + override",$B$11,0)</f>
        <v/>
      </c>
      <c r="W25" s="25">
        <f>IF($B$3="3. Base + override",$B$11,0)</f>
        <v/>
      </c>
      <c r="X25" s="25">
        <f>IF($B$3="3. Base + override",$B$11,0)</f>
        <v/>
      </c>
      <c r="Y25" s="25">
        <f>IF($B$3="3. Base + override",$B$11,0)</f>
        <v/>
      </c>
      <c r="Z25" s="18">
        <f>SUM(B25:Y25)</f>
        <v/>
      </c>
    </row>
    <row r="26">
      <c r="A26" s="12" t="inlineStr">
        <is>
          <t>Memo: mentor split paid by mentees (pass-through, not a brokerage cost)</t>
        </is>
      </c>
      <c r="B26" s="25">
        <f>B24</f>
        <v/>
      </c>
      <c r="C26" s="25">
        <f>C24</f>
        <v/>
      </c>
      <c r="D26" s="25">
        <f>D24</f>
        <v/>
      </c>
      <c r="E26" s="25">
        <f>E24</f>
        <v/>
      </c>
      <c r="F26" s="25">
        <f>F24</f>
        <v/>
      </c>
      <c r="G26" s="25">
        <f>G24</f>
        <v/>
      </c>
      <c r="H26" s="25">
        <f>H24</f>
        <v/>
      </c>
      <c r="I26" s="25">
        <f>I24</f>
        <v/>
      </c>
      <c r="J26" s="25">
        <f>J24</f>
        <v/>
      </c>
      <c r="K26" s="25">
        <f>K24</f>
        <v/>
      </c>
      <c r="L26" s="25">
        <f>L24</f>
        <v/>
      </c>
      <c r="M26" s="25">
        <f>M24</f>
        <v/>
      </c>
      <c r="N26" s="25">
        <f>N24</f>
        <v/>
      </c>
      <c r="O26" s="25">
        <f>O24</f>
        <v/>
      </c>
      <c r="P26" s="25">
        <f>P24</f>
        <v/>
      </c>
      <c r="Q26" s="25">
        <f>Q24</f>
        <v/>
      </c>
      <c r="R26" s="25">
        <f>R24</f>
        <v/>
      </c>
      <c r="S26" s="25">
        <f>S24</f>
        <v/>
      </c>
      <c r="T26" s="25">
        <f>T24</f>
        <v/>
      </c>
      <c r="U26" s="25">
        <f>U24</f>
        <v/>
      </c>
      <c r="V26" s="25">
        <f>V24</f>
        <v/>
      </c>
      <c r="W26" s="25">
        <f>W24</f>
        <v/>
      </c>
      <c r="X26" s="25">
        <f>X24</f>
        <v/>
      </c>
      <c r="Y26" s="25">
        <f>Y24</f>
        <v/>
      </c>
      <c r="Z26" s="18">
        <f>SUM(B26:Y26)</f>
        <v/>
      </c>
    </row>
    <row r="30">
      <c r="A30" s="5" t="inlineStr">
        <is>
          <t>Total cost to the brokerage</t>
        </is>
      </c>
      <c r="B30" s="18">
        <f>IF($B$3="3. Base + override",B22+B25,B22)</f>
        <v/>
      </c>
      <c r="C30" s="18">
        <f>IF($B$3="3. Base + override",C22+C25,C22)</f>
        <v/>
      </c>
      <c r="D30" s="18">
        <f>IF($B$3="3. Base + override",D22+D25,D22)</f>
        <v/>
      </c>
      <c r="E30" s="18">
        <f>IF($B$3="3. Base + override",E22+E25,E22)</f>
        <v/>
      </c>
      <c r="F30" s="18">
        <f>IF($B$3="3. Base + override",F22+F25,F22)</f>
        <v/>
      </c>
      <c r="G30" s="18">
        <f>IF($B$3="3. Base + override",G22+G25,G22)</f>
        <v/>
      </c>
      <c r="H30" s="18">
        <f>IF($B$3="3. Base + override",H22+H25,H22)</f>
        <v/>
      </c>
      <c r="I30" s="18">
        <f>IF($B$3="3. Base + override",I22+I25,I22)</f>
        <v/>
      </c>
      <c r="J30" s="18">
        <f>IF($B$3="3. Base + override",J22+J25,J22)</f>
        <v/>
      </c>
      <c r="K30" s="18">
        <f>IF($B$3="3. Base + override",K22+K25,K22)</f>
        <v/>
      </c>
      <c r="L30" s="18">
        <f>IF($B$3="3. Base + override",L22+L25,L22)</f>
        <v/>
      </c>
      <c r="M30" s="18">
        <f>IF($B$3="3. Base + override",M22+M25,M22)</f>
        <v/>
      </c>
      <c r="N30" s="18">
        <f>IF($B$3="3. Base + override",N22+N25,N22)</f>
        <v/>
      </c>
      <c r="O30" s="18">
        <f>IF($B$3="3. Base + override",O22+O25,O22)</f>
        <v/>
      </c>
      <c r="P30" s="18">
        <f>IF($B$3="3. Base + override",P22+P25,P22)</f>
        <v/>
      </c>
      <c r="Q30" s="18">
        <f>IF($B$3="3. Base + override",Q22+Q25,Q22)</f>
        <v/>
      </c>
      <c r="R30" s="18">
        <f>IF($B$3="3. Base + override",R22+R25,R22)</f>
        <v/>
      </c>
      <c r="S30" s="18">
        <f>IF($B$3="3. Base + override",S22+S25,S22)</f>
        <v/>
      </c>
      <c r="T30" s="18">
        <f>IF($B$3="3. Base + override",T22+T25,T22)</f>
        <v/>
      </c>
      <c r="U30" s="18">
        <f>IF($B$3="3. Base + override",U22+U25,U22)</f>
        <v/>
      </c>
      <c r="V30" s="18">
        <f>IF($B$3="3. Base + override",V22+V25,V22)</f>
        <v/>
      </c>
      <c r="W30" s="18">
        <f>IF($B$3="3. Base + override",W22+W25,W22)</f>
        <v/>
      </c>
      <c r="X30" s="18">
        <f>IF($B$3="3. Base + override",X22+X25,X22)</f>
        <v/>
      </c>
      <c r="Y30" s="18">
        <f>IF($B$3="3. Base + override",Y22+Y25,Y22)</f>
        <v/>
      </c>
      <c r="Z30" s="18">
        <f>SUM(B30:Y30)</f>
        <v/>
      </c>
    </row>
    <row r="32">
      <c r="A32" s="30" t="inlineStr">
        <is>
          <t>Her total earnings, including her own production</t>
        </is>
      </c>
    </row>
    <row r="33">
      <c r="A33" s="9" t="inlineStr">
        <is>
          <t>Her own transactions per month</t>
        </is>
      </c>
      <c r="B33" s="31">
        <f>Scenarios!$E$10</f>
        <v/>
      </c>
      <c r="D33" s="12" t="inlineStr">
        <is>
          <t>She is also an agent paying the same fees as everyone else.</t>
        </is>
      </c>
    </row>
    <row r="34">
      <c r="A34" s="9" t="inlineStr">
        <is>
          <t>Her commission income per year</t>
        </is>
      </c>
      <c r="B34" s="18">
        <f>B33*12*$B$10</f>
        <v/>
      </c>
    </row>
    <row r="35">
      <c r="A35" s="9" t="inlineStr">
        <is>
          <t>Her management income, year 1</t>
        </is>
      </c>
      <c r="B35" s="18">
        <f>SUM(B30:M30)+SUM(B26:M26)</f>
        <v/>
      </c>
      <c r="D35" s="12" t="inlineStr">
        <is>
          <t>Override from the brokerage plus mentor splits paid by her mentees.</t>
        </is>
      </c>
    </row>
    <row r="36">
      <c r="A36" s="9" t="inlineStr">
        <is>
          <t>Her fees paid to the brokerage per year</t>
        </is>
      </c>
      <c r="B36" s="18">
        <f>-(12*Tiers!$B$21+B33*12*Tiers!$B$22)</f>
        <v/>
      </c>
    </row>
    <row r="37">
      <c r="A37" s="5" t="inlineStr">
        <is>
          <t>Net to her, year 1</t>
        </is>
      </c>
      <c r="B37" s="18">
        <f>B34+B35+B36</f>
        <v/>
      </c>
    </row>
  </sheetData>
  <dataValidations count="1">
    <dataValidation sqref="B3" showDropDown="0" showInputMessage="0" showErrorMessage="0" allowBlank="0" type="list">
      <formula1>"1. Output-based only,2. Override + mentor split,3. Base + override"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 ht="22" customHeight="1">
      <c r="A1" s="1" t="inlineStr">
        <is>
          <t>Property management and enterprise value</t>
        </is>
      </c>
    </row>
    <row r="2">
      <c r="A2" s="4" t="inlineStr">
        <is>
          <t>Where the durable value actually sits.</t>
        </is>
      </c>
    </row>
    <row r="3">
      <c r="A3" s="19" t="inlineStr">
        <is>
          <t>Property management, 24 months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</row>
    <row r="4">
      <c r="A4" s="9" t="inlineStr">
        <is>
          <t>Doors at start</t>
        </is>
      </c>
      <c r="B4" s="32">
        <f>Scenarios!$E$17</f>
        <v/>
      </c>
    </row>
    <row r="5">
      <c r="A5" s="9" t="inlineStr">
        <is>
          <t>Doors added per month</t>
        </is>
      </c>
      <c r="B5" s="31">
        <f>Scenarios!$E$18</f>
        <v/>
      </c>
    </row>
    <row r="6">
      <c r="A6" s="9" t="inlineStr">
        <is>
          <t>Doors at month 24</t>
        </is>
      </c>
      <c r="B6" s="14">
        <f>B4+B5*24</f>
        <v/>
      </c>
    </row>
    <row r="7">
      <c r="A7" s="9" t="inlineStr">
        <is>
          <t>Monthly fee per door</t>
        </is>
      </c>
      <c r="B7" s="28">
        <f>Scenarios!$E$19</f>
        <v/>
      </c>
    </row>
    <row r="8">
      <c r="A8" s="5" t="inlineStr">
        <is>
          <t>Annual recurring management revenue at month 24</t>
        </is>
      </c>
      <c r="B8" s="18">
        <f>B6*B7*12</f>
        <v/>
      </c>
    </row>
    <row r="9">
      <c r="A9" s="9" t="inlineStr">
        <is>
          <t>Leasing fees per year</t>
        </is>
      </c>
      <c r="B9" s="17">
        <f>B6*0.4*0.75*Scenarios!$E$19*6</f>
        <v/>
      </c>
      <c r="E9" s="12" t="inlineStr">
        <is>
          <t>Rough: 40% of doors turn in a year, leasing fee of 75% of a month's rent. Replace with your real numbers.</t>
        </is>
      </c>
    </row>
    <row r="10">
      <c r="A10" s="9" t="inlineStr">
        <is>
          <t>PM direct costs</t>
        </is>
      </c>
      <c r="B10" s="15" t="n">
        <v>0.35</v>
      </c>
      <c r="E10" s="12" t="inlineStr">
        <is>
          <t>Share of PM revenue consumed by software, inspections, and your time.</t>
        </is>
      </c>
    </row>
    <row r="11">
      <c r="A11" s="5" t="inlineStr">
        <is>
          <t>PM contribution per year</t>
        </is>
      </c>
      <c r="B11" s="18">
        <f>(B8+B9)*(1-B10)</f>
        <v/>
      </c>
    </row>
    <row r="13">
      <c r="A13" s="19" t="inlineStr">
        <is>
          <t>What each business is worth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8" customHeight="1">
      <c r="A14" s="7" t="inlineStr"/>
      <c r="B14" s="8" t="inlineStr">
        <is>
          <t>Low</t>
        </is>
      </c>
      <c r="C14" s="8" t="inlineStr">
        <is>
          <t>Mid</t>
        </is>
      </c>
      <c r="D14" s="8" t="inlineStr">
        <is>
          <t>High</t>
        </is>
      </c>
      <c r="E14" s="8" t="inlineStr">
        <is>
          <t>Basis</t>
        </is>
      </c>
    </row>
    <row r="15">
      <c r="A15" s="9" t="inlineStr">
        <is>
          <t>Brokerage — multiple of EBITDA</t>
        </is>
      </c>
      <c r="B15" s="33" t="n">
        <v>1.5</v>
      </c>
      <c r="C15" s="33" t="n">
        <v>2.5</v>
      </c>
      <c r="D15" s="33" t="n">
        <v>3.5</v>
      </c>
      <c r="E15" s="12" t="inlineStr">
        <is>
          <t>Small independent brokerages trade low. Agent rosters walk, and fee income is not contracted.</t>
        </is>
      </c>
    </row>
    <row r="16">
      <c r="A16" s="9" t="inlineStr">
        <is>
          <t>Brokerage EBITDA, year 2 run rate</t>
        </is>
      </c>
      <c r="B16" s="28">
        <f>SUM('P&amp;L'!N27:Y27)</f>
        <v/>
      </c>
    </row>
    <row r="17">
      <c r="A17" s="5" t="inlineStr">
        <is>
          <t>Brokerage value</t>
        </is>
      </c>
      <c r="B17" s="18">
        <f>MAX(0,$B$16*B15)</f>
        <v/>
      </c>
      <c r="C17" s="18">
        <f>MAX(0,$B$16*C15)</f>
        <v/>
      </c>
      <c r="D17" s="18">
        <f>MAX(0,$B$16*D15)</f>
        <v/>
      </c>
    </row>
    <row r="19">
      <c r="A19" s="9" t="inlineStr">
        <is>
          <t>PM — multiple of annual recurring revenue</t>
        </is>
      </c>
      <c r="B19" s="33" t="n">
        <v>1.2</v>
      </c>
      <c r="C19" s="33" t="n">
        <v>1.8</v>
      </c>
      <c r="D19" s="33" t="n">
        <v>2.5</v>
      </c>
      <c r="E19" s="12" t="inlineStr">
        <is>
          <t>Management contracts recur and transfer with a sale, which is why PM books trade on revenue, not earnings.</t>
        </is>
      </c>
    </row>
    <row r="20">
      <c r="A20" s="9" t="inlineStr">
        <is>
          <t>PM annual recurring revenue</t>
        </is>
      </c>
      <c r="B20" s="28">
        <f>B8</f>
        <v/>
      </c>
    </row>
    <row r="21">
      <c r="A21" s="5" t="inlineStr">
        <is>
          <t>PM value</t>
        </is>
      </c>
      <c r="B21" s="18">
        <f>$B$20*B19</f>
        <v/>
      </c>
      <c r="C21" s="18">
        <f>$B$20*C19</f>
        <v/>
      </c>
      <c r="D21" s="18">
        <f>$B$20*D19</f>
        <v/>
      </c>
    </row>
    <row r="23">
      <c r="A23" s="5" t="inlineStr">
        <is>
          <t>Combined enterprise value</t>
        </is>
      </c>
      <c r="B23" s="18">
        <f>B17+B21</f>
        <v/>
      </c>
      <c r="C23" s="18">
        <f>C17+C21</f>
        <v/>
      </c>
      <c r="D23" s="18">
        <f>D17+D21</f>
        <v/>
      </c>
    </row>
    <row r="24">
      <c r="A24" s="5" t="inlineStr">
        <is>
          <t>PM share of total value</t>
        </is>
      </c>
      <c r="B24" s="16">
        <f>IFERROR(B21/(B17+B21),0)</f>
        <v/>
      </c>
      <c r="C24" s="16">
        <f>IFERROR(C21/(C17+C21),0)</f>
        <v/>
      </c>
      <c r="D24" s="16">
        <f>IFERROR(D21/(D17+D21),0)</f>
        <v/>
      </c>
      <c r="E24" s="12" t="inlineStr">
        <is>
          <t>If this is most of the value, the brokerage's job is to feed the PM book, not to carry the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2026-10-23T14:15:59Z</dcterms:created>
  <dcterms:modified xsi:type="dcterms:W3CDTF">2026-10-23T14:15:59Z</dcterms:modified>
</cp:coreProperties>
</file>